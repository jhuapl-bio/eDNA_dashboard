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rd-party software" sheetId="1" state="visible" r:id="rId3"/>
    <sheet name="Summary" sheetId="2" state="visible" r:id="rId4"/>
  </sheets>
  <definedNames>
    <definedName function="false" hidden="true" localSheetId="0" name="_xlnm._FilterDatabase" vbProcedure="false">'Third-party software'!$A$4:$J$62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<sst xmlns="http://schemas.openxmlformats.org/spreadsheetml/2006/main" count="522" uniqueCount="317">
  <si>
    <t xml:space="preserve">eDNA_processing — third-party software, services and data</t>
  </si>
  <si>
    <t xml:space="preserve">Inventory of everything the repository depends on or calls. No third-party source code is stored in the repo: Python packages are installed with pip, browser libraries load from public CDNs when an HTML page is opened. Versions are as declared in requirements*.txt / HTML tags. Prepared 2026-10-01 from the repo contents; re-check licenses against each project before release.</t>
  </si>
  <si>
    <t xml:space="preserve">#</t>
  </si>
  <si>
    <t xml:space="preserve">Name</t>
  </si>
  <si>
    <t xml:space="preserve">Version (as declared)</t>
  </si>
  <si>
    <t xml:space="preserve">Category</t>
  </si>
  <si>
    <t xml:space="preserve">Delivery / how obtained</t>
  </si>
  <si>
    <t xml:space="preserve">Used by (repo files)</t>
  </si>
  <si>
    <t xml:space="preserve">Required?</t>
  </si>
  <si>
    <t xml:space="preserve">License</t>
  </si>
  <si>
    <t xml:space="preserve">Homepage / source</t>
  </si>
  <si>
    <t xml:space="preserve">Notes</t>
  </si>
  <si>
    <t xml:space="preserve">Python</t>
  </si>
  <si>
    <t xml:space="preserve">3.9+</t>
  </si>
  <si>
    <t xml:space="preserve">Language runtime</t>
  </si>
  <si>
    <t xml:space="preserve">System install</t>
  </si>
  <si>
    <t xml:space="preserve">all *.py</t>
  </si>
  <si>
    <t xml:space="preserve">Runtime</t>
  </si>
  <si>
    <t xml:space="preserve">PSF-2.0</t>
  </si>
  <si>
    <t xml:space="preserve">https://www.python.org</t>
  </si>
  <si>
    <t xml:space="preserve">pandas</t>
  </si>
  <si>
    <t xml:space="preserve">&gt;=2.0</t>
  </si>
  <si>
    <t xml:space="preserve">Python library</t>
  </si>
  <si>
    <t xml:space="preserve">Python package (pip, requirements*.txt)</t>
  </si>
  <si>
    <t xml:space="preserve">build_mbon_html.py, ingest.py, make_example_data.py, api/datasources.py</t>
  </si>
  <si>
    <t xml:space="preserve">BSD-3-Clause</t>
  </si>
  <si>
    <t xml:space="preserve">https://github.com/pandas-dev/pandas</t>
  </si>
  <si>
    <t xml:space="preserve">NumPy</t>
  </si>
  <si>
    <t xml:space="preserve">&gt;=1.24</t>
  </si>
  <si>
    <t xml:space="preserve">build_mbon_html.py</t>
  </si>
  <si>
    <t xml:space="preserve">https://github.com/numpy/numpy</t>
  </si>
  <si>
    <t xml:space="preserve">openpyxl</t>
  </si>
  <si>
    <t xml:space="preserve">&gt;=3.1</t>
  </si>
  <si>
    <t xml:space="preserve">build_mbon_html.py, ingest.py, edna_common.py, make_example_data.py, api</t>
  </si>
  <si>
    <t xml:space="preserve">MIT</t>
  </si>
  <si>
    <t xml:space="preserve">https://foss.heptapod.net/openpyxl/openpyxl</t>
  </si>
  <si>
    <t xml:space="preserve">python-dotenv</t>
  </si>
  <si>
    <t xml:space="preserve">&gt;=1.0</t>
  </si>
  <si>
    <t xml:space="preserve">edna_common.py, api/app.py</t>
  </si>
  <si>
    <t xml:space="preserve">Runtime (optional for CLI tools)</t>
  </si>
  <si>
    <t xml:space="preserve">https://github.com/theskumar/python-dotenv</t>
  </si>
  <si>
    <t xml:space="preserve">psycopg2-binary</t>
  </si>
  <si>
    <t xml:space="preserve">&gt;=2.9</t>
  </si>
  <si>
    <t xml:space="preserve">ingest.py, api/app.py, api/datasources.py</t>
  </si>
  <si>
    <t xml:space="preserve">Runtime (database features only)</t>
  </si>
  <si>
    <t xml:space="preserve">LGPL-3.0-or-later (with exceptions)</t>
  </si>
  <si>
    <t xml:space="preserve">https://github.com/psycopg/psycopg2</t>
  </si>
  <si>
    <t xml:space="preserve">Weak copyleft; used unmodified as a separately installed library. Binary wheels bundle libpq (PostgreSQL License) and OpenSSL (Apache-2.0).</t>
  </si>
  <si>
    <t xml:space="preserve">Flask</t>
  </si>
  <si>
    <t xml:space="preserve">&gt;=3.0</t>
  </si>
  <si>
    <t xml:space="preserve">Python web framework</t>
  </si>
  <si>
    <t xml:space="preserve">api/app.py, api/imports.py</t>
  </si>
  <si>
    <t xml:space="preserve">Runtime (dashboard API)</t>
  </si>
  <si>
    <t xml:space="preserve">https://github.com/pallets/flask</t>
  </si>
  <si>
    <t xml:space="preserve">Werkzeug</t>
  </si>
  <si>
    <t xml:space="preserve">(Flask dependency)</t>
  </si>
  <si>
    <t xml:space="preserve">Python package (transitive, installed by pip)</t>
  </si>
  <si>
    <t xml:space="preserve">api/app.py (imported directly)</t>
  </si>
  <si>
    <t xml:space="preserve">https://github.com/pallets/werkzeug</t>
  </si>
  <si>
    <t xml:space="preserve">Flask-Cors</t>
  </si>
  <si>
    <t xml:space="preserve">&gt;=4.0</t>
  </si>
  <si>
    <t xml:space="preserve">api/app.py</t>
  </si>
  <si>
    <t xml:space="preserve">https://github.com/corydolphin/flask-cors</t>
  </si>
  <si>
    <t xml:space="preserve">requests</t>
  </si>
  <si>
    <t xml:space="preserve">&gt;=2.31</t>
  </si>
  <si>
    <t xml:space="preserve">api/datasources.py (Google Sheets source)</t>
  </si>
  <si>
    <t xml:space="preserve">Apache-2.0</t>
  </si>
  <si>
    <t xml:space="preserve">https://github.com/psf/requests</t>
  </si>
  <si>
    <t xml:space="preserve">Jinja2</t>
  </si>
  <si>
    <t xml:space="preserve">api (indirect)</t>
  </si>
  <si>
    <t xml:space="preserve">https://github.com/pallets/jinja</t>
  </si>
  <si>
    <t xml:space="preserve">MarkupSafe</t>
  </si>
  <si>
    <t xml:space="preserve">https://github.com/pallets/markupsafe</t>
  </si>
  <si>
    <t xml:space="preserve">itsdangerous</t>
  </si>
  <si>
    <t xml:space="preserve">https://github.com/pallets/itsdangerous</t>
  </si>
  <si>
    <t xml:space="preserve">click</t>
  </si>
  <si>
    <t xml:space="preserve">https://github.com/pallets/click</t>
  </si>
  <si>
    <t xml:space="preserve">blinker</t>
  </si>
  <si>
    <t xml:space="preserve">https://github.com/pallets-eco/blinker</t>
  </si>
  <si>
    <t xml:space="preserve">urllib3</t>
  </si>
  <si>
    <t xml:space="preserve">(requests dependency)</t>
  </si>
  <si>
    <t xml:space="preserve">https://github.com/urllib3/urllib3</t>
  </si>
  <si>
    <t xml:space="preserve">idna</t>
  </si>
  <si>
    <t xml:space="preserve">https://github.com/kjd/idna</t>
  </si>
  <si>
    <t xml:space="preserve">charset-normalizer</t>
  </si>
  <si>
    <t xml:space="preserve">https://github.com/jawah/charset_normalizer</t>
  </si>
  <si>
    <t xml:space="preserve">certifi</t>
  </si>
  <si>
    <t xml:space="preserve">MPL-2.0</t>
  </si>
  <si>
    <t xml:space="preserve">https://github.com/certifi/python-certifi</t>
  </si>
  <si>
    <t xml:space="preserve">Weak copyleft (file-level); used unmodified.</t>
  </si>
  <si>
    <t xml:space="preserve">python-dateutil</t>
  </si>
  <si>
    <t xml:space="preserve">(pandas dependency)</t>
  </si>
  <si>
    <t xml:space="preserve">indirect</t>
  </si>
  <si>
    <t xml:space="preserve">Apache-2.0 / BSD-3-Clause (dual)</t>
  </si>
  <si>
    <t xml:space="preserve">https://github.com/dateutil/dateutil</t>
  </si>
  <si>
    <t xml:space="preserve">pytz</t>
  </si>
  <si>
    <t xml:space="preserve">https://github.com/stub42/pytz</t>
  </si>
  <si>
    <t xml:space="preserve">tzdata</t>
  </si>
  <si>
    <t xml:space="preserve">https://github.com/python/tzdata</t>
  </si>
  <si>
    <t xml:space="preserve">six</t>
  </si>
  <si>
    <t xml:space="preserve">https://github.com/benjaminp/six</t>
  </si>
  <si>
    <t xml:space="preserve">et_xmlfile</t>
  </si>
  <si>
    <t xml:space="preserve">(openpyxl dependency)</t>
  </si>
  <si>
    <t xml:space="preserve">https://foss.heptapod.net/openpyxl/et_xmlfile</t>
  </si>
  <si>
    <t xml:space="preserve">pytest</t>
  </si>
  <si>
    <t xml:space="preserve">&gt;=7</t>
  </si>
  <si>
    <t xml:space="preserve">Test framework</t>
  </si>
  <si>
    <t xml:space="preserve">Python package (requirements-dev.txt)</t>
  </si>
  <si>
    <t xml:space="preserve">tests/, api/tests/</t>
  </si>
  <si>
    <t xml:space="preserve">Development / CI only</t>
  </si>
  <si>
    <t xml:space="preserve">https://github.com/pytest-dev/pytest</t>
  </si>
  <si>
    <t xml:space="preserve">flake8</t>
  </si>
  <si>
    <t xml:space="preserve">&gt;=6</t>
  </si>
  <si>
    <t xml:space="preserve">Linter</t>
  </si>
  <si>
    <t xml:space="preserve">CI lint step</t>
  </si>
  <si>
    <t xml:space="preserve">https://github.com/PyCQA/flake8</t>
  </si>
  <si>
    <t xml:space="preserve">Pulls in pyflakes, pycodestyle, mccabe (all MIT).</t>
  </si>
  <si>
    <t xml:space="preserve">D3.js</t>
  </si>
  <si>
    <t xml:space="preserve">7 (template: d3@7, unpinned minor) / 7.9.0 (dashboard)</t>
  </si>
  <si>
    <t xml:space="preserve">JS charting library</t>
  </si>
  <si>
    <t xml:space="preserve">JS/CSS loaded at view time from CDN (not stored in repo)</t>
  </si>
  <si>
    <t xml:space="preserve">templates/station_top10_species_map_template.html, examples/example_report.html, frontend/index.html, frontend/metadata.html</t>
  </si>
  <si>
    <t xml:space="preserve">Runtime (browser)</t>
  </si>
  <si>
    <t xml:space="preserve">ISC</t>
  </si>
  <si>
    <t xml:space="preserve">https://github.com/d3/d3</t>
  </si>
  <si>
    <t xml:space="preserve">Report pins only the major version; consider pinning 7.9.0.</t>
  </si>
  <si>
    <t xml:space="preserve">Leaflet</t>
  </si>
  <si>
    <t xml:space="preserve">1.9.3</t>
  </si>
  <si>
    <t xml:space="preserve">JS map library</t>
  </si>
  <si>
    <t xml:space="preserve">report template, examples, frontend/index.html, frontend/metadata.html</t>
  </si>
  <si>
    <t xml:space="preserve">BSD-2-Clause</t>
  </si>
  <si>
    <t xml:space="preserve">https://github.com/Leaflet/Leaflet</t>
  </si>
  <si>
    <t xml:space="preserve">Leaflet.markercluster</t>
  </si>
  <si>
    <t xml:space="preserve">1.5.3</t>
  </si>
  <si>
    <t xml:space="preserve">Leaflet plugin</t>
  </si>
  <si>
    <t xml:space="preserve">report template, examples, frontend/index.html</t>
  </si>
  <si>
    <t xml:space="preserve">https://github.com/Leaflet/Leaflet.markercluster</t>
  </si>
  <si>
    <t xml:space="preserve">Leaflet.awesome-markers</t>
  </si>
  <si>
    <t xml:space="preserve">2.0.2</t>
  </si>
  <si>
    <t xml:space="preserve">report template, examples</t>
  </si>
  <si>
    <t xml:space="preserve">https://github.com/lvoogdt/Leaflet.awesome-markers</t>
  </si>
  <si>
    <t xml:space="preserve">folium (leaflet.awesome.rotate.min.css)</t>
  </si>
  <si>
    <t xml:space="preserve">main branch (unpinned)</t>
  </si>
  <si>
    <t xml:space="preserve">CSS from folium project</t>
  </si>
  <si>
    <t xml:space="preserve">https://github.com/python-visualization/folium</t>
  </si>
  <si>
    <t xml:space="preserve">Single CSS file; unpinned — consider pinning a release tag.</t>
  </si>
  <si>
    <t xml:space="preserve">SheetJS Community Edition (xlsx)</t>
  </si>
  <si>
    <t xml:space="preserve">0.18.5</t>
  </si>
  <si>
    <t xml:space="preserve">JS spreadsheet parser/writer</t>
  </si>
  <si>
    <t xml:space="preserve">https://git.sheetjs.com/sheetjs/sheetjs</t>
  </si>
  <si>
    <t xml:space="preserve">Newer versions are distributed from cdn.sheetjs.com, not npm/cdnjs.</t>
  </si>
  <si>
    <t xml:space="preserve">jsPDF</t>
  </si>
  <si>
    <t xml:space="preserve">2.5.1</t>
  </si>
  <si>
    <t xml:space="preserve">JS PDF export</t>
  </si>
  <si>
    <t xml:space="preserve">report template, examples, frontend/index.html (via js/chart-export.js, js/enhance.js)</t>
  </si>
  <si>
    <t xml:space="preserve">https://github.com/parallax/jsPDF</t>
  </si>
  <si>
    <t xml:space="preserve">jQuery</t>
  </si>
  <si>
    <t xml:space="preserve">3.7.1</t>
  </si>
  <si>
    <t xml:space="preserve">JS library</t>
  </si>
  <si>
    <t xml:space="preserve">https://github.com/jquery/jquery</t>
  </si>
  <si>
    <t xml:space="preserve">Bootstrap</t>
  </si>
  <si>
    <t xml:space="preserve">5.2.2</t>
  </si>
  <si>
    <t xml:space="preserve">CSS/JS UI framework</t>
  </si>
  <si>
    <t xml:space="preserve">https://github.com/twbs/bootstrap</t>
  </si>
  <si>
    <t xml:space="preserve">bootstrap.bundle includes Popper (MIT).</t>
  </si>
  <si>
    <t xml:space="preserve">Bootstrap 3 Glyphicons CSS</t>
  </si>
  <si>
    <t xml:space="preserve">3.0.0</t>
  </si>
  <si>
    <t xml:space="preserve">Icon CSS</t>
  </si>
  <si>
    <t xml:space="preserve">JS/CSS loaded at view time from CDN (not stored in repo) (netdna.bootstrapcdn.com)</t>
  </si>
  <si>
    <t xml:space="preserve">MIT (Bootstrap); Glyphicons Halflings provided free with Bootstrap</t>
  </si>
  <si>
    <t xml:space="preserve">https://getbootstrap.com/docs/3.3/components/#glyphicons</t>
  </si>
  <si>
    <t xml:space="preserve">Legacy CDN host; consider removing or self-hosting.</t>
  </si>
  <si>
    <t xml:space="preserve">Font Awesome Free</t>
  </si>
  <si>
    <t xml:space="preserve">6.2.0</t>
  </si>
  <si>
    <t xml:space="preserve">Icon font</t>
  </si>
  <si>
    <t xml:space="preserve">Icons CC BY 4.0; fonts SIL OFL 1.1; code MIT</t>
  </si>
  <si>
    <t xml:space="preserve">https://fontawesome.com/license/free</t>
  </si>
  <si>
    <t xml:space="preserve">CC BY 4.0 requires attribution (satisfied by the license comments in the CSS file).</t>
  </si>
  <si>
    <t xml:space="preserve">Vue.js</t>
  </si>
  <si>
    <t xml:space="preserve">3.4.21</t>
  </si>
  <si>
    <t xml:space="preserve">JS UI framework</t>
  </si>
  <si>
    <t xml:space="preserve">frontend/index.html, frontend/metadata.html</t>
  </si>
  <si>
    <t xml:space="preserve">Runtime (browser, dashboard)</t>
  </si>
  <si>
    <t xml:space="preserve">https://github.com/vuejs/core</t>
  </si>
  <si>
    <t xml:space="preserve">Axios</t>
  </si>
  <si>
    <t xml:space="preserve">1.6.8</t>
  </si>
  <si>
    <t xml:space="preserve">JS HTTP client</t>
  </si>
  <si>
    <t xml:space="preserve">frontend/index.html, frontend/js/app.js</t>
  </si>
  <si>
    <t xml:space="preserve">https://github.com/axios/axios</t>
  </si>
  <si>
    <t xml:space="preserve">OpenStreetMap tile service</t>
  </si>
  <si>
    <t xml:space="preserve">n/a</t>
  </si>
  <si>
    <t xml:space="preserve">Map tiles / data</t>
  </si>
  <si>
    <t xml:space="preserve">External web service (called at view/run time)</t>
  </si>
  <si>
    <t xml:space="preserve">report template, examples, frontend/js/app.js</t>
  </si>
  <si>
    <t xml:space="preserve">Data: ODbL 1.0; tiles under OSMF Tile Usage Policy</t>
  </si>
  <si>
    <t xml:space="preserve">https://www.openstreetmap.org/copyright</t>
  </si>
  <si>
    <t xml:space="preserve">Attribution required (shown on map). Heavy/production use should use a dedicated tile provider.</t>
  </si>
  <si>
    <t xml:space="preserve">Esri ArcGIS Online — World Light Gray Canvas basemap</t>
  </si>
  <si>
    <t xml:space="preserve">Map tiles</t>
  </si>
  <si>
    <t xml:space="preserve">Esri Terms of Use (proprietary service)</t>
  </si>
  <si>
    <t xml:space="preserve">https://www.esri.com/en-us/legal/terms/full-master-agreement</t>
  </si>
  <si>
    <t xml:space="preserve">Attribution required; review Esri terms for public/production use.</t>
  </si>
  <si>
    <t xml:space="preserve">CARTO Voyager basemap</t>
  </si>
  <si>
    <t xml:space="preserve">frontend/metadata.html</t>
  </si>
  <si>
    <t xml:space="preserve">CARTO basemap terms; data © OpenStreetMap contributors (ODbL)</t>
  </si>
  <si>
    <t xml:space="preserve">https://carto.com/basemaps</t>
  </si>
  <si>
    <t xml:space="preserve">Attribution required; free tier has usage limits.</t>
  </si>
  <si>
    <t xml:space="preserve">jsDelivr CDN</t>
  </si>
  <si>
    <t xml:space="preserve">Content delivery network</t>
  </si>
  <si>
    <t xml:space="preserve">HTML files (script/link tags)</t>
  </si>
  <si>
    <t xml:space="preserve">Service terms</t>
  </si>
  <si>
    <t xml:space="preserve">https://www.jsdelivr.com/terms</t>
  </si>
  <si>
    <t xml:space="preserve">Serves the libraries above; no code stored in repo.</t>
  </si>
  <si>
    <t xml:space="preserve">cdnjs (Cloudflare)</t>
  </si>
  <si>
    <t xml:space="preserve">https://cdnjs.com</t>
  </si>
  <si>
    <t xml:space="preserve">jQuery CDN (code.jquery.com)</t>
  </si>
  <si>
    <t xml:space="preserve">https://code.jquery.com</t>
  </si>
  <si>
    <t xml:space="preserve">Google Sheets (CSV export)</t>
  </si>
  <si>
    <t xml:space="preserve">Optional data source</t>
  </si>
  <si>
    <t xml:space="preserve">api/datasources.py</t>
  </si>
  <si>
    <t xml:space="preserve">Optional</t>
  </si>
  <si>
    <t xml:space="preserve">Google Terms of Service</t>
  </si>
  <si>
    <t xml:space="preserve">https://policies.google.com/terms</t>
  </si>
  <si>
    <t xml:space="preserve">Only used if an analyst adds a Google Sheet source in the dashboard.</t>
  </si>
  <si>
    <t xml:space="preserve">NCBI Taxonomy (taxdump)</t>
  </si>
  <si>
    <t xml:space="preserve">names.dmp / nodes.dmp</t>
  </si>
  <si>
    <t xml:space="preserve">Reference data</t>
  </si>
  <si>
    <t xml:space="preserve">Downloaded separately; not in repo (git-ignored)</t>
  </si>
  <si>
    <t xml:space="preserve">api/app.py (TAXDUMP_DIR)</t>
  </si>
  <si>
    <t xml:space="preserve">Public domain (U.S. Government work); NCBI data-use policies apply</t>
  </si>
  <si>
    <t xml:space="preserve">https://ftp.ncbi.nlm.nih.gov/pub/taxonomy/</t>
  </si>
  <si>
    <t xml:space="preserve">PostgreSQL</t>
  </si>
  <si>
    <t xml:space="preserve">16 (docker image postgres:16)</t>
  </si>
  <si>
    <t xml:space="preserve">Database</t>
  </si>
  <si>
    <t xml:space="preserve">Container image / installed separately (deploy/)</t>
  </si>
  <si>
    <t xml:space="preserve">deploy/compose.yml, sql/create_tables.sql, ingest.py, api</t>
  </si>
  <si>
    <t xml:space="preserve">Optional (database features)</t>
  </si>
  <si>
    <t xml:space="preserve">PostgreSQL License</t>
  </si>
  <si>
    <t xml:space="preserve">https://www.postgresql.org/about/licence/</t>
  </si>
  <si>
    <t xml:space="preserve">Docker image also contains Debian packages under their own licenses.</t>
  </si>
  <si>
    <t xml:space="preserve">Metabase (Open Source edition)</t>
  </si>
  <si>
    <t xml:space="preserve">latest (unpinned)</t>
  </si>
  <si>
    <t xml:space="preserve">BI tool</t>
  </si>
  <si>
    <t xml:space="preserve">Container image / installed separately (deploy/) — optional 'metabase' compose profile</t>
  </si>
  <si>
    <t xml:space="preserve">deploy/compose.yml</t>
  </si>
  <si>
    <t xml:space="preserve">Optional, off by default</t>
  </si>
  <si>
    <t xml:space="preserve">AGPL-3.0</t>
  </si>
  <si>
    <t xml:space="preserve">https://github.com/metabase/metabase</t>
  </si>
  <si>
    <t xml:space="preserve">Strong copyleft; only run as a separate, unmodified service and not distributed with the repo. Consider pinning a version.</t>
  </si>
  <si>
    <t xml:space="preserve">Docker / Docker Compose</t>
  </si>
  <si>
    <t xml:space="preserve">any recent</t>
  </si>
  <si>
    <t xml:space="preserve">Container tooling</t>
  </si>
  <si>
    <t xml:space="preserve">Installed by user</t>
  </si>
  <si>
    <t xml:space="preserve">https://github.com/docker/compose</t>
  </si>
  <si>
    <t xml:space="preserve">actions/checkout</t>
  </si>
  <si>
    <t xml:space="preserve">v4</t>
  </si>
  <si>
    <t xml:space="preserve">CI action</t>
  </si>
  <si>
    <t xml:space="preserve">GitHub Actions (CI only)</t>
  </si>
  <si>
    <t xml:space="preserve">.github/workflows/ci.yml</t>
  </si>
  <si>
    <t xml:space="preserve">CI only</t>
  </si>
  <si>
    <t xml:space="preserve">https://github.com/actions/checkout</t>
  </si>
  <si>
    <t xml:space="preserve">actions/setup-python</t>
  </si>
  <si>
    <t xml:space="preserve">v5</t>
  </si>
  <si>
    <t xml:space="preserve">https://github.com/actions/setup-python</t>
  </si>
  <si>
    <t xml:space="preserve">actions/setup-node</t>
  </si>
  <si>
    <t xml:space="preserve">https://github.com/actions/setup-node</t>
  </si>
  <si>
    <t xml:space="preserve">actions/upload-artifact</t>
  </si>
  <si>
    <t xml:space="preserve">https://github.com/actions/upload-artifact</t>
  </si>
  <si>
    <t xml:space="preserve">Node.js</t>
  </si>
  <si>
    <t xml:space="preserve">20</t>
  </si>
  <si>
    <t xml:space="preserve">JS runtime</t>
  </si>
  <si>
    <t xml:space="preserve">.github/workflows/ci.yml (node --check syntax lint)</t>
  </si>
  <si>
    <t xml:space="preserve">https://github.com/nodejs/node</t>
  </si>
  <si>
    <t xml:space="preserve">Kraken2</t>
  </si>
  <si>
    <t xml:space="preserve">any (report format)</t>
  </si>
  <si>
    <t xml:space="preserve">Taxonomic classifier</t>
  </si>
  <si>
    <t xml:space="preserve">External tool / format — outputs are read; not bundled or called</t>
  </si>
  <si>
    <t xml:space="preserve">build_mbon_html.py, ingest.py (parse .kraken2.report files)</t>
  </si>
  <si>
    <t xml:space="preserve">Input format only</t>
  </si>
  <si>
    <t xml:space="preserve">https://github.com/DerrickWood/kraken2</t>
  </si>
  <si>
    <t xml:space="preserve">Wilderlab eDNA reports</t>
  </si>
  <si>
    <t xml:space="preserve">Commercial lab result format</t>
  </si>
  <si>
    <t xml:space="preserve">build_mbon_html.py, ingest.py (WLM*.xlsx)</t>
  </si>
  <si>
    <t xml:space="preserve">n/a (vendor data format)</t>
  </si>
  <si>
    <t xml:space="preserve">https://www.wilderlab.co.nz</t>
  </si>
  <si>
    <t xml:space="preserve">No vendor software used.</t>
  </si>
  <si>
    <t xml:space="preserve">FAIRe eDNA metadata checklist</t>
  </si>
  <si>
    <t xml:space="preserve">v1.0.x</t>
  </si>
  <si>
    <t xml:space="preserve">Metadata standard</t>
  </si>
  <si>
    <t xml:space="preserve">build_mbon_html.py, ingest.py (sampleMetadata sheets)</t>
  </si>
  <si>
    <t xml:space="preserve">See FAIRe project</t>
  </si>
  <si>
    <t xml:space="preserve">https://github.com/FAIR-eDNA/FAIRe_checklist</t>
  </si>
  <si>
    <t xml:space="preserve">Standard/template, not software.</t>
  </si>
  <si>
    <t xml:space="preserve">Highlighted rows = copyleft licenses (LGPL / MPL / AGPL) — see Notes.</t>
  </si>
  <si>
    <t xml:space="preserve">Summary</t>
  </si>
  <si>
    <t xml:space="preserve">Total entries</t>
  </si>
  <si>
    <t xml:space="preserve">By delivery</t>
  </si>
  <si>
    <t xml:space="preserve">Python packages (direct)</t>
  </si>
  <si>
    <t xml:space="preserve">Python packages (transitive)</t>
  </si>
  <si>
    <t xml:space="preserve">Browser libraries via CDN</t>
  </si>
  <si>
    <t xml:space="preserve">External web services / data</t>
  </si>
  <si>
    <t xml:space="preserve">Infrastructure (deploy/)</t>
  </si>
  <si>
    <t xml:space="preserve">Input formats only</t>
  </si>
  <si>
    <t xml:space="preserve">Other (Python runtime, dev tools, Docker, NCBI download)</t>
  </si>
  <si>
    <t xml:space="preserve">By license family</t>
  </si>
  <si>
    <t xml:space="preserve">BSD (2/3-Clause)</t>
  </si>
  <si>
    <t xml:space="preserve">LGPL (weak copyleft)</t>
  </si>
  <si>
    <t xml:space="preserve">MPL-2.0 (weak copyleft)</t>
  </si>
  <si>
    <t xml:space="preserve">AGPL (strong copyleft, optional)</t>
  </si>
  <si>
    <t xml:space="preserve">Service terms / proprietary service</t>
  </si>
  <si>
    <t xml:space="preserve">Counts by license family can overlap (dual-licensed entries match more than one row).</t>
  </si>
  <si>
    <t xml:space="preserve">Items to watch</t>
  </si>
  <si>
    <t xml:space="preserve">• psycopg2-binary — LGPL-3.0: fine as an unmodified, pip-installed dependency.</t>
  </si>
  <si>
    <t xml:space="preserve">• Metabase — AGPL-3.0: optional, off by default, run as a separate service; not distributed.</t>
  </si>
  <si>
    <t xml:space="preserve">• certifi — MPL-2.0: transitive, unmodified.</t>
  </si>
  <si>
    <t xml:space="preserve">• Map tiles (OpenStreetMap, Esri, CARTO) — attribution required; check provider terms for heavy or public use.</t>
  </si>
  <si>
    <t xml:space="preserve">• Unpinned: d3@7 in the report template, folium CSS (main branch), metabase:latest — consider pinning.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</si>
</sst>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ython.org/" TargetMode="External"/><Relationship Id="rId2" Type="http://schemas.openxmlformats.org/officeDocument/2006/relationships/hyperlink" Target="https://github.com/pandas-dev/pandas" TargetMode="External"/><Relationship Id="rId3" Type="http://schemas.openxmlformats.org/officeDocument/2006/relationships/hyperlink" Target="https://github.com/numpy/numpy" TargetMode="External"/><Relationship Id="rId4" Type="http://schemas.openxmlformats.org/officeDocument/2006/relationships/hyperlink" Target="https://foss.heptapod.net/openpyxl/openpyxl" TargetMode="External"/><Relationship Id="rId5" Type="http://schemas.openxmlformats.org/officeDocument/2006/relationships/hyperlink" Target="https://github.com/theskumar/python-dotenv" TargetMode="External"/><Relationship Id="rId6" Type="http://schemas.openxmlformats.org/officeDocument/2006/relationships/hyperlink" Target="https://github.com/psycopg/psycopg2" TargetMode="External"/><Relationship Id="rId7" Type="http://schemas.openxmlformats.org/officeDocument/2006/relationships/hyperlink" Target="https://github.com/pallets/flask" TargetMode="External"/><Relationship Id="rId8" Type="http://schemas.openxmlformats.org/officeDocument/2006/relationships/hyperlink" Target="https://github.com/pallets/werkzeug" TargetMode="External"/><Relationship Id="rId9" Type="http://schemas.openxmlformats.org/officeDocument/2006/relationships/hyperlink" Target="https://github.com/corydolphin/flask-cors" TargetMode="External"/><Relationship Id="rId10" Type="http://schemas.openxmlformats.org/officeDocument/2006/relationships/hyperlink" Target="https://github.com/psf/requests" TargetMode="External"/><Relationship Id="rId11" Type="http://schemas.openxmlformats.org/officeDocument/2006/relationships/hyperlink" Target="https://github.com/pallets/jinja" TargetMode="External"/><Relationship Id="rId12" Type="http://schemas.openxmlformats.org/officeDocument/2006/relationships/hyperlink" Target="https://github.com/pallets/markupsafe" TargetMode="External"/><Relationship Id="rId13" Type="http://schemas.openxmlformats.org/officeDocument/2006/relationships/hyperlink" Target="https://github.com/pallets/itsdangerous" TargetMode="External"/><Relationship Id="rId14" Type="http://schemas.openxmlformats.org/officeDocument/2006/relationships/hyperlink" Target="https://github.com/pallets/click" TargetMode="External"/><Relationship Id="rId15" Type="http://schemas.openxmlformats.org/officeDocument/2006/relationships/hyperlink" Target="https://github.com/pallets-eco/blinker" TargetMode="External"/><Relationship Id="rId16" Type="http://schemas.openxmlformats.org/officeDocument/2006/relationships/hyperlink" Target="https://github.com/urllib3/urllib3" TargetMode="External"/><Relationship Id="rId17" Type="http://schemas.openxmlformats.org/officeDocument/2006/relationships/hyperlink" Target="https://github.com/kjd/idna" TargetMode="External"/><Relationship Id="rId18" Type="http://schemas.openxmlformats.org/officeDocument/2006/relationships/hyperlink" Target="https://github.com/jawah/charset_normalizer" TargetMode="External"/><Relationship Id="rId19" Type="http://schemas.openxmlformats.org/officeDocument/2006/relationships/hyperlink" Target="https://github.com/certifi/python-certifi" TargetMode="External"/><Relationship Id="rId20" Type="http://schemas.openxmlformats.org/officeDocument/2006/relationships/hyperlink" Target="https://github.com/dateutil/dateutil" TargetMode="External"/><Relationship Id="rId21" Type="http://schemas.openxmlformats.org/officeDocument/2006/relationships/hyperlink" Target="https://github.com/stub42/pytz" TargetMode="External"/><Relationship Id="rId22" Type="http://schemas.openxmlformats.org/officeDocument/2006/relationships/hyperlink" Target="https://github.com/python/tzdata" TargetMode="External"/><Relationship Id="rId23" Type="http://schemas.openxmlformats.org/officeDocument/2006/relationships/hyperlink" Target="https://github.com/benjaminp/six" TargetMode="External"/><Relationship Id="rId24" Type="http://schemas.openxmlformats.org/officeDocument/2006/relationships/hyperlink" Target="https://foss.heptapod.net/openpyxl/et_xmlfile" TargetMode="External"/><Relationship Id="rId25" Type="http://schemas.openxmlformats.org/officeDocument/2006/relationships/hyperlink" Target="https://github.com/pytest-dev/pytest" TargetMode="External"/><Relationship Id="rId26" Type="http://schemas.openxmlformats.org/officeDocument/2006/relationships/hyperlink" Target="https://github.com/PyCQA/flake8" TargetMode="External"/><Relationship Id="rId27" Type="http://schemas.openxmlformats.org/officeDocument/2006/relationships/hyperlink" Target="https://github.com/d3/d3" TargetMode="External"/><Relationship Id="rId28" Type="http://schemas.openxmlformats.org/officeDocument/2006/relationships/hyperlink" Target="https://github.com/Leaflet/Leaflet" TargetMode="External"/><Relationship Id="rId29" Type="http://schemas.openxmlformats.org/officeDocument/2006/relationships/hyperlink" Target="https://github.com/Leaflet/Leaflet.markercluster" TargetMode="External"/><Relationship Id="rId30" Type="http://schemas.openxmlformats.org/officeDocument/2006/relationships/hyperlink" Target="https://github.com/lvoogdt/Leaflet.awesome-markers" TargetMode="External"/><Relationship Id="rId31" Type="http://schemas.openxmlformats.org/officeDocument/2006/relationships/hyperlink" Target="https://github.com/python-visualization/folium" TargetMode="External"/><Relationship Id="rId32" Type="http://schemas.openxmlformats.org/officeDocument/2006/relationships/hyperlink" Target="https://git.sheetjs.com/sheetjs/sheetjs" TargetMode="External"/><Relationship Id="rId33" Type="http://schemas.openxmlformats.org/officeDocument/2006/relationships/hyperlink" Target="https://github.com/parallax/jsPDF" TargetMode="External"/><Relationship Id="rId34" Type="http://schemas.openxmlformats.org/officeDocument/2006/relationships/hyperlink" Target="https://github.com/jquery/jquery" TargetMode="External"/><Relationship Id="rId35" Type="http://schemas.openxmlformats.org/officeDocument/2006/relationships/hyperlink" Target="https://github.com/twbs/bootstrap" TargetMode="External"/><Relationship Id="rId36" Type="http://schemas.openxmlformats.org/officeDocument/2006/relationships/hyperlink" Target="https://getbootstrap.com/docs/3.3/components/" TargetMode="External"/><Relationship Id="rId37" Type="http://schemas.openxmlformats.org/officeDocument/2006/relationships/hyperlink" Target="https://fontawesome.com/license/free" TargetMode="External"/><Relationship Id="rId38" Type="http://schemas.openxmlformats.org/officeDocument/2006/relationships/hyperlink" Target="https://github.com/vuejs/core" TargetMode="External"/><Relationship Id="rId39" Type="http://schemas.openxmlformats.org/officeDocument/2006/relationships/hyperlink" Target="https://github.com/axios/axios" TargetMode="External"/><Relationship Id="rId40" Type="http://schemas.openxmlformats.org/officeDocument/2006/relationships/hyperlink" Target="https://www.openstreetmap.org/copyright" TargetMode="External"/><Relationship Id="rId41" Type="http://schemas.openxmlformats.org/officeDocument/2006/relationships/hyperlink" Target="https://www.esri.com/en-us/legal/terms/full-master-agreement" TargetMode="External"/><Relationship Id="rId42" Type="http://schemas.openxmlformats.org/officeDocument/2006/relationships/hyperlink" Target="https://carto.com/basemaps" TargetMode="External"/><Relationship Id="rId43" Type="http://schemas.openxmlformats.org/officeDocument/2006/relationships/hyperlink" Target="https://www.jsdelivr.com/terms" TargetMode="External"/><Relationship Id="rId44" Type="http://schemas.openxmlformats.org/officeDocument/2006/relationships/hyperlink" Target="https://cdnjs.com/" TargetMode="External"/><Relationship Id="rId45" Type="http://schemas.openxmlformats.org/officeDocument/2006/relationships/hyperlink" Target="https://code.jquery.com/" TargetMode="External"/><Relationship Id="rId46" Type="http://schemas.openxmlformats.org/officeDocument/2006/relationships/hyperlink" Target="https://policies.google.com/terms" TargetMode="External"/><Relationship Id="rId47" Type="http://schemas.openxmlformats.org/officeDocument/2006/relationships/hyperlink" Target="https://ftp.ncbi.nlm.nih.gov/pub/taxonomy/" TargetMode="External"/><Relationship Id="rId48" Type="http://schemas.openxmlformats.org/officeDocument/2006/relationships/hyperlink" Target="https://www.postgresql.org/about/licence/" TargetMode="External"/><Relationship Id="rId49" Type="http://schemas.openxmlformats.org/officeDocument/2006/relationships/hyperlink" Target="https://github.com/metabase/metabase" TargetMode="External"/><Relationship Id="rId50" Type="http://schemas.openxmlformats.org/officeDocument/2006/relationships/hyperlink" Target="https://github.com/docker/compose" TargetMode="External"/><Relationship Id="rId51" Type="http://schemas.openxmlformats.org/officeDocument/2006/relationships/hyperlink" Target="https://github.com/actions/checkout" TargetMode="External"/><Relationship Id="rId52" Type="http://schemas.openxmlformats.org/officeDocument/2006/relationships/hyperlink" Target="https://github.com/actions/setup-python" TargetMode="External"/><Relationship Id="rId53" Type="http://schemas.openxmlformats.org/officeDocument/2006/relationships/hyperlink" Target="https://github.com/actions/setup-node" TargetMode="External"/><Relationship Id="rId54" Type="http://schemas.openxmlformats.org/officeDocument/2006/relationships/hyperlink" Target="https://github.com/actions/upload-artifact" TargetMode="External"/><Relationship Id="rId55" Type="http://schemas.openxmlformats.org/officeDocument/2006/relationships/hyperlink" Target="https://github.com/nodejs/node" TargetMode="External"/><Relationship Id="rId56" Type="http://schemas.openxmlformats.org/officeDocument/2006/relationships/hyperlink" Target="https://github.com/DerrickWood/kraken2" TargetMode="External"/><Relationship Id="rId57" Type="http://schemas.openxmlformats.org/officeDocument/2006/relationships/hyperlink" Target="https://www.wilderlab.co.nz/" TargetMode="External"/><Relationship Id="rId58" Type="http://schemas.openxmlformats.org/officeDocument/2006/relationships/hyperlink" Target="https://github.com/FAIR-eDNA/FAIRe_checklist" TargetMode="External"/><Relationship Id="rId5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  <c r="J5" s="4"/>
    </row>
    <row r="6" customFormat="false" ht="23.85" hidden="false" customHeight="false" outlineLevel="0" collapsed="false">
      <c r="A6" s="4" t="n">
        <v>2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17</v>
      </c>
      <c r="H6" s="4" t="s">
        <v>25</v>
      </c>
      <c r="I6" s="5" t="s">
        <v>26</v>
      </c>
      <c r="J6" s="4"/>
    </row>
    <row r="7" customFormat="false" ht="23.85" hidden="false" customHeight="false" outlineLevel="0" collapsed="false">
      <c r="A7" s="4" t="n">
        <v>3</v>
      </c>
      <c r="B7" s="4" t="s">
        <v>27</v>
      </c>
      <c r="C7" s="4" t="s">
        <v>28</v>
      </c>
      <c r="D7" s="4" t="s">
        <v>22</v>
      </c>
      <c r="E7" s="4" t="s">
        <v>23</v>
      </c>
      <c r="F7" s="4" t="s">
        <v>29</v>
      </c>
      <c r="G7" s="4" t="s">
        <v>17</v>
      </c>
      <c r="H7" s="4" t="s">
        <v>25</v>
      </c>
      <c r="I7" s="5" t="s">
        <v>30</v>
      </c>
      <c r="J7" s="4"/>
    </row>
    <row r="8" customFormat="false" ht="23.85" hidden="false" customHeight="false" outlineLevel="0" collapsed="false">
      <c r="A8" s="4" t="n">
        <v>4</v>
      </c>
      <c r="B8" s="4" t="s">
        <v>31</v>
      </c>
      <c r="C8" s="4" t="s">
        <v>32</v>
      </c>
      <c r="D8" s="4" t="s">
        <v>22</v>
      </c>
      <c r="E8" s="4" t="s">
        <v>23</v>
      </c>
      <c r="F8" s="4" t="s">
        <v>33</v>
      </c>
      <c r="G8" s="4" t="s">
        <v>17</v>
      </c>
      <c r="H8" s="4" t="s">
        <v>34</v>
      </c>
      <c r="I8" s="5" t="s">
        <v>35</v>
      </c>
      <c r="J8" s="4"/>
    </row>
    <row r="9" customFormat="false" ht="23.85" hidden="false" customHeight="false" outlineLevel="0" collapsed="false">
      <c r="A9" s="4" t="n">
        <v>5</v>
      </c>
      <c r="B9" s="4" t="s">
        <v>36</v>
      </c>
      <c r="C9" s="4" t="s">
        <v>37</v>
      </c>
      <c r="D9" s="4" t="s">
        <v>22</v>
      </c>
      <c r="E9" s="4" t="s">
        <v>23</v>
      </c>
      <c r="F9" s="4" t="s">
        <v>38</v>
      </c>
      <c r="G9" s="4" t="s">
        <v>39</v>
      </c>
      <c r="H9" s="4" t="s">
        <v>25</v>
      </c>
      <c r="I9" s="5" t="s">
        <v>40</v>
      </c>
      <c r="J9" s="4"/>
    </row>
    <row r="10" customFormat="false" ht="35.05" hidden="false" customHeight="false" outlineLevel="0" collapsed="false">
      <c r="A10" s="6" t="n">
        <v>6</v>
      </c>
      <c r="B10" s="6" t="s">
        <v>41</v>
      </c>
      <c r="C10" s="6" t="s">
        <v>42</v>
      </c>
      <c r="D10" s="6" t="s">
        <v>22</v>
      </c>
      <c r="E10" s="6" t="s">
        <v>23</v>
      </c>
      <c r="F10" s="6" t="s">
        <v>43</v>
      </c>
      <c r="G10" s="6" t="s">
        <v>44</v>
      </c>
      <c r="H10" s="6" t="s">
        <v>45</v>
      </c>
      <c r="I10" s="7" t="s">
        <v>46</v>
      </c>
      <c r="J10" s="6" t="s">
        <v>47</v>
      </c>
    </row>
    <row r="11" customFormat="false" ht="23.85" hidden="false" customHeight="false" outlineLevel="0" collapsed="false">
      <c r="A11" s="4" t="n">
        <v>7</v>
      </c>
      <c r="B11" s="4" t="s">
        <v>48</v>
      </c>
      <c r="C11" s="4" t="s">
        <v>49</v>
      </c>
      <c r="D11" s="4" t="s">
        <v>50</v>
      </c>
      <c r="E11" s="4" t="s">
        <v>23</v>
      </c>
      <c r="F11" s="4" t="s">
        <v>51</v>
      </c>
      <c r="G11" s="4" t="s">
        <v>52</v>
      </c>
      <c r="H11" s="4" t="s">
        <v>25</v>
      </c>
      <c r="I11" s="5" t="s">
        <v>53</v>
      </c>
      <c r="J11" s="4"/>
    </row>
    <row r="12" customFormat="false" ht="23.85" hidden="false" customHeight="false" outlineLevel="0" collapsed="false">
      <c r="A12" s="4" t="n">
        <v>8</v>
      </c>
      <c r="B12" s="4" t="s">
        <v>54</v>
      </c>
      <c r="C12" s="4" t="s">
        <v>55</v>
      </c>
      <c r="D12" s="4" t="s">
        <v>22</v>
      </c>
      <c r="E12" s="4" t="s">
        <v>56</v>
      </c>
      <c r="F12" s="4" t="s">
        <v>57</v>
      </c>
      <c r="G12" s="4" t="s">
        <v>52</v>
      </c>
      <c r="H12" s="4" t="s">
        <v>25</v>
      </c>
      <c r="I12" s="5" t="s">
        <v>58</v>
      </c>
      <c r="J12" s="4"/>
    </row>
    <row r="13" customFormat="false" ht="23.85" hidden="false" customHeight="false" outlineLevel="0" collapsed="false">
      <c r="A13" s="4" t="n">
        <v>9</v>
      </c>
      <c r="B13" s="4" t="s">
        <v>59</v>
      </c>
      <c r="C13" s="4" t="s">
        <v>60</v>
      </c>
      <c r="D13" s="4" t="s">
        <v>22</v>
      </c>
      <c r="E13" s="4" t="s">
        <v>23</v>
      </c>
      <c r="F13" s="4" t="s">
        <v>61</v>
      </c>
      <c r="G13" s="4" t="s">
        <v>52</v>
      </c>
      <c r="H13" s="4" t="s">
        <v>34</v>
      </c>
      <c r="I13" s="5" t="s">
        <v>62</v>
      </c>
      <c r="J13" s="4"/>
    </row>
    <row r="14" customFormat="false" ht="23.85" hidden="false" customHeight="false" outlineLevel="0" collapsed="false">
      <c r="A14" s="4" t="n">
        <v>10</v>
      </c>
      <c r="B14" s="4" t="s">
        <v>63</v>
      </c>
      <c r="C14" s="4" t="s">
        <v>64</v>
      </c>
      <c r="D14" s="4" t="s">
        <v>22</v>
      </c>
      <c r="E14" s="4" t="s">
        <v>23</v>
      </c>
      <c r="F14" s="4" t="s">
        <v>65</v>
      </c>
      <c r="G14" s="4" t="s">
        <v>52</v>
      </c>
      <c r="H14" s="4" t="s">
        <v>66</v>
      </c>
      <c r="I14" s="5" t="s">
        <v>67</v>
      </c>
      <c r="J14" s="4"/>
    </row>
    <row r="15" customFormat="false" ht="23.85" hidden="false" customHeight="false" outlineLevel="0" collapsed="false">
      <c r="A15" s="4" t="n">
        <v>11</v>
      </c>
      <c r="B15" s="4" t="s">
        <v>68</v>
      </c>
      <c r="C15" s="4" t="s">
        <v>55</v>
      </c>
      <c r="D15" s="4" t="s">
        <v>22</v>
      </c>
      <c r="E15" s="4" t="s">
        <v>56</v>
      </c>
      <c r="F15" s="4" t="s">
        <v>69</v>
      </c>
      <c r="G15" s="4" t="s">
        <v>52</v>
      </c>
      <c r="H15" s="4" t="s">
        <v>25</v>
      </c>
      <c r="I15" s="5" t="s">
        <v>70</v>
      </c>
      <c r="J15" s="4"/>
    </row>
    <row r="16" customFormat="false" ht="23.85" hidden="false" customHeight="false" outlineLevel="0" collapsed="false">
      <c r="A16" s="4" t="n">
        <v>12</v>
      </c>
      <c r="B16" s="4" t="s">
        <v>71</v>
      </c>
      <c r="C16" s="4" t="s">
        <v>55</v>
      </c>
      <c r="D16" s="4" t="s">
        <v>22</v>
      </c>
      <c r="E16" s="4" t="s">
        <v>56</v>
      </c>
      <c r="F16" s="4" t="s">
        <v>69</v>
      </c>
      <c r="G16" s="4" t="s">
        <v>52</v>
      </c>
      <c r="H16" s="4" t="s">
        <v>25</v>
      </c>
      <c r="I16" s="5" t="s">
        <v>72</v>
      </c>
      <c r="J16" s="4"/>
    </row>
    <row r="17" customFormat="false" ht="23.85" hidden="false" customHeight="false" outlineLevel="0" collapsed="false">
      <c r="A17" s="4" t="n">
        <v>13</v>
      </c>
      <c r="B17" s="4" t="s">
        <v>73</v>
      </c>
      <c r="C17" s="4" t="s">
        <v>55</v>
      </c>
      <c r="D17" s="4" t="s">
        <v>22</v>
      </c>
      <c r="E17" s="4" t="s">
        <v>56</v>
      </c>
      <c r="F17" s="4" t="s">
        <v>69</v>
      </c>
      <c r="G17" s="4" t="s">
        <v>52</v>
      </c>
      <c r="H17" s="4" t="s">
        <v>25</v>
      </c>
      <c r="I17" s="5" t="s">
        <v>74</v>
      </c>
      <c r="J17" s="4"/>
    </row>
    <row r="18" customFormat="false" ht="23.85" hidden="false" customHeight="false" outlineLevel="0" collapsed="false">
      <c r="A18" s="4" t="n">
        <v>14</v>
      </c>
      <c r="B18" s="4" t="s">
        <v>75</v>
      </c>
      <c r="C18" s="4" t="s">
        <v>55</v>
      </c>
      <c r="D18" s="4" t="s">
        <v>22</v>
      </c>
      <c r="E18" s="4" t="s">
        <v>56</v>
      </c>
      <c r="F18" s="4" t="s">
        <v>69</v>
      </c>
      <c r="G18" s="4" t="s">
        <v>52</v>
      </c>
      <c r="H18" s="4" t="s">
        <v>25</v>
      </c>
      <c r="I18" s="5" t="s">
        <v>76</v>
      </c>
      <c r="J18" s="4"/>
    </row>
    <row r="19" customFormat="false" ht="23.85" hidden="false" customHeight="false" outlineLevel="0" collapsed="false">
      <c r="A19" s="4" t="n">
        <v>15</v>
      </c>
      <c r="B19" s="4" t="s">
        <v>77</v>
      </c>
      <c r="C19" s="4" t="s">
        <v>55</v>
      </c>
      <c r="D19" s="4" t="s">
        <v>22</v>
      </c>
      <c r="E19" s="4" t="s">
        <v>56</v>
      </c>
      <c r="F19" s="4" t="s">
        <v>69</v>
      </c>
      <c r="G19" s="4" t="s">
        <v>52</v>
      </c>
      <c r="H19" s="4" t="s">
        <v>34</v>
      </c>
      <c r="I19" s="5" t="s">
        <v>78</v>
      </c>
      <c r="J19" s="4"/>
    </row>
    <row r="20" customFormat="false" ht="23.85" hidden="false" customHeight="false" outlineLevel="0" collapsed="false">
      <c r="A20" s="4" t="n">
        <v>16</v>
      </c>
      <c r="B20" s="4" t="s">
        <v>79</v>
      </c>
      <c r="C20" s="4" t="s">
        <v>80</v>
      </c>
      <c r="D20" s="4" t="s">
        <v>22</v>
      </c>
      <c r="E20" s="4" t="s">
        <v>56</v>
      </c>
      <c r="F20" s="4" t="s">
        <v>69</v>
      </c>
      <c r="G20" s="4" t="s">
        <v>52</v>
      </c>
      <c r="H20" s="4" t="s">
        <v>34</v>
      </c>
      <c r="I20" s="5" t="s">
        <v>81</v>
      </c>
      <c r="J20" s="4"/>
    </row>
    <row r="21" customFormat="false" ht="23.85" hidden="false" customHeight="false" outlineLevel="0" collapsed="false">
      <c r="A21" s="4" t="n">
        <v>17</v>
      </c>
      <c r="B21" s="4" t="s">
        <v>82</v>
      </c>
      <c r="C21" s="4" t="s">
        <v>80</v>
      </c>
      <c r="D21" s="4" t="s">
        <v>22</v>
      </c>
      <c r="E21" s="4" t="s">
        <v>56</v>
      </c>
      <c r="F21" s="4" t="s">
        <v>69</v>
      </c>
      <c r="G21" s="4" t="s">
        <v>52</v>
      </c>
      <c r="H21" s="4" t="s">
        <v>25</v>
      </c>
      <c r="I21" s="5" t="s">
        <v>83</v>
      </c>
      <c r="J21" s="4"/>
    </row>
    <row r="22" customFormat="false" ht="23.85" hidden="false" customHeight="false" outlineLevel="0" collapsed="false">
      <c r="A22" s="4" t="n">
        <v>18</v>
      </c>
      <c r="B22" s="4" t="s">
        <v>84</v>
      </c>
      <c r="C22" s="4" t="s">
        <v>80</v>
      </c>
      <c r="D22" s="4" t="s">
        <v>22</v>
      </c>
      <c r="E22" s="4" t="s">
        <v>56</v>
      </c>
      <c r="F22" s="4" t="s">
        <v>69</v>
      </c>
      <c r="G22" s="4" t="s">
        <v>52</v>
      </c>
      <c r="H22" s="4" t="s">
        <v>34</v>
      </c>
      <c r="I22" s="5" t="s">
        <v>85</v>
      </c>
      <c r="J22" s="4"/>
    </row>
    <row r="23" customFormat="false" ht="23.85" hidden="false" customHeight="false" outlineLevel="0" collapsed="false">
      <c r="A23" s="6" t="n">
        <v>19</v>
      </c>
      <c r="B23" s="6" t="s">
        <v>86</v>
      </c>
      <c r="C23" s="6" t="s">
        <v>80</v>
      </c>
      <c r="D23" s="6" t="s">
        <v>22</v>
      </c>
      <c r="E23" s="6" t="s">
        <v>56</v>
      </c>
      <c r="F23" s="6" t="s">
        <v>69</v>
      </c>
      <c r="G23" s="6" t="s">
        <v>52</v>
      </c>
      <c r="H23" s="6" t="s">
        <v>87</v>
      </c>
      <c r="I23" s="7" t="s">
        <v>88</v>
      </c>
      <c r="J23" s="6" t="s">
        <v>89</v>
      </c>
    </row>
    <row r="24" customFormat="false" ht="23.85" hidden="false" customHeight="false" outlineLevel="0" collapsed="false">
      <c r="A24" s="4" t="n">
        <v>20</v>
      </c>
      <c r="B24" s="4" t="s">
        <v>90</v>
      </c>
      <c r="C24" s="4" t="s">
        <v>91</v>
      </c>
      <c r="D24" s="4" t="s">
        <v>22</v>
      </c>
      <c r="E24" s="4" t="s">
        <v>56</v>
      </c>
      <c r="F24" s="4" t="s">
        <v>92</v>
      </c>
      <c r="G24" s="4" t="s">
        <v>17</v>
      </c>
      <c r="H24" s="4" t="s">
        <v>93</v>
      </c>
      <c r="I24" s="5" t="s">
        <v>94</v>
      </c>
      <c r="J24" s="4"/>
    </row>
    <row r="25" customFormat="false" ht="23.85" hidden="false" customHeight="false" outlineLevel="0" collapsed="false">
      <c r="A25" s="4" t="n">
        <v>21</v>
      </c>
      <c r="B25" s="4" t="s">
        <v>95</v>
      </c>
      <c r="C25" s="4" t="s">
        <v>91</v>
      </c>
      <c r="D25" s="4" t="s">
        <v>22</v>
      </c>
      <c r="E25" s="4" t="s">
        <v>56</v>
      </c>
      <c r="F25" s="4" t="s">
        <v>92</v>
      </c>
      <c r="G25" s="4" t="s">
        <v>17</v>
      </c>
      <c r="H25" s="4" t="s">
        <v>34</v>
      </c>
      <c r="I25" s="5" t="s">
        <v>96</v>
      </c>
      <c r="J25" s="4"/>
    </row>
    <row r="26" customFormat="false" ht="23.85" hidden="false" customHeight="false" outlineLevel="0" collapsed="false">
      <c r="A26" s="4" t="n">
        <v>22</v>
      </c>
      <c r="B26" s="4" t="s">
        <v>97</v>
      </c>
      <c r="C26" s="4" t="s">
        <v>91</v>
      </c>
      <c r="D26" s="4" t="s">
        <v>22</v>
      </c>
      <c r="E26" s="4" t="s">
        <v>56</v>
      </c>
      <c r="F26" s="4" t="s">
        <v>92</v>
      </c>
      <c r="G26" s="4" t="s">
        <v>17</v>
      </c>
      <c r="H26" s="4" t="s">
        <v>66</v>
      </c>
      <c r="I26" s="5" t="s">
        <v>98</v>
      </c>
      <c r="J26" s="4"/>
    </row>
    <row r="27" customFormat="false" ht="23.85" hidden="false" customHeight="false" outlineLevel="0" collapsed="false">
      <c r="A27" s="4" t="n">
        <v>23</v>
      </c>
      <c r="B27" s="4" t="s">
        <v>99</v>
      </c>
      <c r="C27" s="4" t="s">
        <v>91</v>
      </c>
      <c r="D27" s="4" t="s">
        <v>22</v>
      </c>
      <c r="E27" s="4" t="s">
        <v>56</v>
      </c>
      <c r="F27" s="4" t="s">
        <v>92</v>
      </c>
      <c r="G27" s="4" t="s">
        <v>17</v>
      </c>
      <c r="H27" s="4" t="s">
        <v>34</v>
      </c>
      <c r="I27" s="5" t="s">
        <v>100</v>
      </c>
      <c r="J27" s="4"/>
    </row>
    <row r="28" customFormat="false" ht="23.85" hidden="false" customHeight="false" outlineLevel="0" collapsed="false">
      <c r="A28" s="4" t="n">
        <v>24</v>
      </c>
      <c r="B28" s="4" t="s">
        <v>101</v>
      </c>
      <c r="C28" s="4" t="s">
        <v>102</v>
      </c>
      <c r="D28" s="4" t="s">
        <v>22</v>
      </c>
      <c r="E28" s="4" t="s">
        <v>56</v>
      </c>
      <c r="F28" s="4" t="s">
        <v>92</v>
      </c>
      <c r="G28" s="4" t="s">
        <v>17</v>
      </c>
      <c r="H28" s="4" t="s">
        <v>34</v>
      </c>
      <c r="I28" s="5" t="s">
        <v>103</v>
      </c>
      <c r="J28" s="4"/>
    </row>
    <row r="29" customFormat="false" ht="23.85" hidden="false" customHeight="false" outlineLevel="0" collapsed="false">
      <c r="A29" s="4" t="n">
        <v>25</v>
      </c>
      <c r="B29" s="4" t="s">
        <v>104</v>
      </c>
      <c r="C29" s="4" t="s">
        <v>105</v>
      </c>
      <c r="D29" s="4" t="s">
        <v>106</v>
      </c>
      <c r="E29" s="4" t="s">
        <v>107</v>
      </c>
      <c r="F29" s="4" t="s">
        <v>108</v>
      </c>
      <c r="G29" s="4" t="s">
        <v>109</v>
      </c>
      <c r="H29" s="4" t="s">
        <v>34</v>
      </c>
      <c r="I29" s="5" t="s">
        <v>110</v>
      </c>
      <c r="J29" s="4"/>
    </row>
    <row r="30" customFormat="false" ht="23.85" hidden="false" customHeight="false" outlineLevel="0" collapsed="false">
      <c r="A30" s="4" t="n">
        <v>26</v>
      </c>
      <c r="B30" s="4" t="s">
        <v>111</v>
      </c>
      <c r="C30" s="4" t="s">
        <v>112</v>
      </c>
      <c r="D30" s="4" t="s">
        <v>113</v>
      </c>
      <c r="E30" s="4" t="s">
        <v>107</v>
      </c>
      <c r="F30" s="4" t="s">
        <v>114</v>
      </c>
      <c r="G30" s="4" t="s">
        <v>109</v>
      </c>
      <c r="H30" s="4" t="s">
        <v>34</v>
      </c>
      <c r="I30" s="5" t="s">
        <v>115</v>
      </c>
      <c r="J30" s="4" t="s">
        <v>116</v>
      </c>
    </row>
    <row r="31" customFormat="false" ht="46.25" hidden="false" customHeight="false" outlineLevel="0" collapsed="false">
      <c r="A31" s="4" t="n">
        <v>27</v>
      </c>
      <c r="B31" s="4" t="s">
        <v>117</v>
      </c>
      <c r="C31" s="4" t="s">
        <v>118</v>
      </c>
      <c r="D31" s="4" t="s">
        <v>119</v>
      </c>
      <c r="E31" s="4" t="s">
        <v>120</v>
      </c>
      <c r="F31" s="4" t="s">
        <v>121</v>
      </c>
      <c r="G31" s="4" t="s">
        <v>122</v>
      </c>
      <c r="H31" s="4" t="s">
        <v>123</v>
      </c>
      <c r="I31" s="5" t="s">
        <v>124</v>
      </c>
      <c r="J31" s="4" t="s">
        <v>125</v>
      </c>
    </row>
    <row r="32" customFormat="false" ht="23.85" hidden="false" customHeight="false" outlineLevel="0" collapsed="false">
      <c r="A32" s="4" t="n">
        <v>28</v>
      </c>
      <c r="B32" s="4" t="s">
        <v>126</v>
      </c>
      <c r="C32" s="4" t="s">
        <v>127</v>
      </c>
      <c r="D32" s="4" t="s">
        <v>128</v>
      </c>
      <c r="E32" s="4" t="s">
        <v>120</v>
      </c>
      <c r="F32" s="4" t="s">
        <v>129</v>
      </c>
      <c r="G32" s="4" t="s">
        <v>122</v>
      </c>
      <c r="H32" s="4" t="s">
        <v>130</v>
      </c>
      <c r="I32" s="5" t="s">
        <v>131</v>
      </c>
      <c r="J32" s="4"/>
    </row>
    <row r="33" customFormat="false" ht="23.85" hidden="false" customHeight="false" outlineLevel="0" collapsed="false">
      <c r="A33" s="4" t="n">
        <v>29</v>
      </c>
      <c r="B33" s="4" t="s">
        <v>132</v>
      </c>
      <c r="C33" s="4" t="s">
        <v>133</v>
      </c>
      <c r="D33" s="4" t="s">
        <v>134</v>
      </c>
      <c r="E33" s="4" t="s">
        <v>120</v>
      </c>
      <c r="F33" s="4" t="s">
        <v>135</v>
      </c>
      <c r="G33" s="4" t="s">
        <v>122</v>
      </c>
      <c r="H33" s="4" t="s">
        <v>34</v>
      </c>
      <c r="I33" s="5" t="s">
        <v>136</v>
      </c>
      <c r="J33" s="4"/>
    </row>
    <row r="34" customFormat="false" ht="23.85" hidden="false" customHeight="false" outlineLevel="0" collapsed="false">
      <c r="A34" s="4" t="n">
        <v>30</v>
      </c>
      <c r="B34" s="4" t="s">
        <v>137</v>
      </c>
      <c r="C34" s="4" t="s">
        <v>138</v>
      </c>
      <c r="D34" s="4" t="s">
        <v>134</v>
      </c>
      <c r="E34" s="4" t="s">
        <v>120</v>
      </c>
      <c r="F34" s="4" t="s">
        <v>139</v>
      </c>
      <c r="G34" s="4" t="s">
        <v>122</v>
      </c>
      <c r="H34" s="4" t="s">
        <v>34</v>
      </c>
      <c r="I34" s="5" t="s">
        <v>140</v>
      </c>
      <c r="J34" s="4"/>
    </row>
    <row r="35" customFormat="false" ht="23.85" hidden="false" customHeight="false" outlineLevel="0" collapsed="false">
      <c r="A35" s="4" t="n">
        <v>31</v>
      </c>
      <c r="B35" s="4" t="s">
        <v>141</v>
      </c>
      <c r="C35" s="4" t="s">
        <v>142</v>
      </c>
      <c r="D35" s="4" t="s">
        <v>143</v>
      </c>
      <c r="E35" s="4" t="s">
        <v>120</v>
      </c>
      <c r="F35" s="4" t="s">
        <v>139</v>
      </c>
      <c r="G35" s="4" t="s">
        <v>122</v>
      </c>
      <c r="H35" s="4" t="s">
        <v>34</v>
      </c>
      <c r="I35" s="5" t="s">
        <v>144</v>
      </c>
      <c r="J35" s="4" t="s">
        <v>145</v>
      </c>
    </row>
    <row r="36" customFormat="false" ht="23.85" hidden="false" customHeight="false" outlineLevel="0" collapsed="false">
      <c r="A36" s="4" t="n">
        <v>32</v>
      </c>
      <c r="B36" s="4" t="s">
        <v>146</v>
      </c>
      <c r="C36" s="4" t="s">
        <v>147</v>
      </c>
      <c r="D36" s="4" t="s">
        <v>148</v>
      </c>
      <c r="E36" s="4" t="s">
        <v>120</v>
      </c>
      <c r="F36" s="4" t="s">
        <v>129</v>
      </c>
      <c r="G36" s="4" t="s">
        <v>122</v>
      </c>
      <c r="H36" s="4" t="s">
        <v>66</v>
      </c>
      <c r="I36" s="5" t="s">
        <v>149</v>
      </c>
      <c r="J36" s="4" t="s">
        <v>150</v>
      </c>
    </row>
    <row r="37" customFormat="false" ht="23.85" hidden="false" customHeight="false" outlineLevel="0" collapsed="false">
      <c r="A37" s="4" t="n">
        <v>33</v>
      </c>
      <c r="B37" s="4" t="s">
        <v>151</v>
      </c>
      <c r="C37" s="4" t="s">
        <v>152</v>
      </c>
      <c r="D37" s="4" t="s">
        <v>153</v>
      </c>
      <c r="E37" s="4" t="s">
        <v>120</v>
      </c>
      <c r="F37" s="4" t="s">
        <v>154</v>
      </c>
      <c r="G37" s="4" t="s">
        <v>122</v>
      </c>
      <c r="H37" s="4" t="s">
        <v>34</v>
      </c>
      <c r="I37" s="5" t="s">
        <v>155</v>
      </c>
      <c r="J37" s="4"/>
    </row>
    <row r="38" customFormat="false" ht="23.85" hidden="false" customHeight="false" outlineLevel="0" collapsed="false">
      <c r="A38" s="4" t="n">
        <v>34</v>
      </c>
      <c r="B38" s="4" t="s">
        <v>156</v>
      </c>
      <c r="C38" s="4" t="s">
        <v>157</v>
      </c>
      <c r="D38" s="4" t="s">
        <v>158</v>
      </c>
      <c r="E38" s="4" t="s">
        <v>120</v>
      </c>
      <c r="F38" s="4" t="s">
        <v>139</v>
      </c>
      <c r="G38" s="4" t="s">
        <v>122</v>
      </c>
      <c r="H38" s="4" t="s">
        <v>34</v>
      </c>
      <c r="I38" s="5" t="s">
        <v>159</v>
      </c>
      <c r="J38" s="4"/>
    </row>
    <row r="39" customFormat="false" ht="23.85" hidden="false" customHeight="false" outlineLevel="0" collapsed="false">
      <c r="A39" s="4" t="n">
        <v>35</v>
      </c>
      <c r="B39" s="4" t="s">
        <v>160</v>
      </c>
      <c r="C39" s="4" t="s">
        <v>161</v>
      </c>
      <c r="D39" s="4" t="s">
        <v>162</v>
      </c>
      <c r="E39" s="4" t="s">
        <v>120</v>
      </c>
      <c r="F39" s="4" t="s">
        <v>139</v>
      </c>
      <c r="G39" s="4" t="s">
        <v>122</v>
      </c>
      <c r="H39" s="4" t="s">
        <v>34</v>
      </c>
      <c r="I39" s="5" t="s">
        <v>163</v>
      </c>
      <c r="J39" s="4" t="s">
        <v>164</v>
      </c>
    </row>
    <row r="40" customFormat="false" ht="35.05" hidden="false" customHeight="false" outlineLevel="0" collapsed="false">
      <c r="A40" s="4" t="n">
        <v>36</v>
      </c>
      <c r="B40" s="4" t="s">
        <v>165</v>
      </c>
      <c r="C40" s="4" t="s">
        <v>166</v>
      </c>
      <c r="D40" s="4" t="s">
        <v>167</v>
      </c>
      <c r="E40" s="4" t="s">
        <v>168</v>
      </c>
      <c r="F40" s="4" t="s">
        <v>139</v>
      </c>
      <c r="G40" s="4" t="s">
        <v>122</v>
      </c>
      <c r="H40" s="4" t="s">
        <v>169</v>
      </c>
      <c r="I40" s="5" t="s">
        <v>170</v>
      </c>
      <c r="J40" s="4" t="s">
        <v>171</v>
      </c>
    </row>
    <row r="41" customFormat="false" ht="23.85" hidden="false" customHeight="false" outlineLevel="0" collapsed="false">
      <c r="A41" s="4" t="n">
        <v>37</v>
      </c>
      <c r="B41" s="4" t="s">
        <v>172</v>
      </c>
      <c r="C41" s="4" t="s">
        <v>173</v>
      </c>
      <c r="D41" s="4" t="s">
        <v>174</v>
      </c>
      <c r="E41" s="4" t="s">
        <v>120</v>
      </c>
      <c r="F41" s="4" t="s">
        <v>139</v>
      </c>
      <c r="G41" s="4" t="s">
        <v>122</v>
      </c>
      <c r="H41" s="4" t="s">
        <v>175</v>
      </c>
      <c r="I41" s="5" t="s">
        <v>176</v>
      </c>
      <c r="J41" s="4" t="s">
        <v>177</v>
      </c>
    </row>
    <row r="42" customFormat="false" ht="23.85" hidden="false" customHeight="false" outlineLevel="0" collapsed="false">
      <c r="A42" s="4" t="n">
        <v>38</v>
      </c>
      <c r="B42" s="4" t="s">
        <v>178</v>
      </c>
      <c r="C42" s="4" t="s">
        <v>179</v>
      </c>
      <c r="D42" s="4" t="s">
        <v>180</v>
      </c>
      <c r="E42" s="4" t="s">
        <v>120</v>
      </c>
      <c r="F42" s="4" t="s">
        <v>181</v>
      </c>
      <c r="G42" s="4" t="s">
        <v>182</v>
      </c>
      <c r="H42" s="4" t="s">
        <v>34</v>
      </c>
      <c r="I42" s="5" t="s">
        <v>183</v>
      </c>
      <c r="J42" s="4"/>
    </row>
    <row r="43" customFormat="false" ht="23.85" hidden="false" customHeight="false" outlineLevel="0" collapsed="false">
      <c r="A43" s="4" t="n">
        <v>39</v>
      </c>
      <c r="B43" s="4" t="s">
        <v>184</v>
      </c>
      <c r="C43" s="4" t="s">
        <v>185</v>
      </c>
      <c r="D43" s="4" t="s">
        <v>186</v>
      </c>
      <c r="E43" s="4" t="s">
        <v>120</v>
      </c>
      <c r="F43" s="4" t="s">
        <v>187</v>
      </c>
      <c r="G43" s="4" t="s">
        <v>182</v>
      </c>
      <c r="H43" s="4" t="s">
        <v>34</v>
      </c>
      <c r="I43" s="5" t="s">
        <v>188</v>
      </c>
      <c r="J43" s="4"/>
    </row>
    <row r="44" customFormat="false" ht="23.85" hidden="false" customHeight="false" outlineLevel="0" collapsed="false">
      <c r="A44" s="4" t="n">
        <v>40</v>
      </c>
      <c r="B44" s="4" t="s">
        <v>189</v>
      </c>
      <c r="C44" s="4" t="s">
        <v>190</v>
      </c>
      <c r="D44" s="4" t="s">
        <v>191</v>
      </c>
      <c r="E44" s="4" t="s">
        <v>192</v>
      </c>
      <c r="F44" s="4" t="s">
        <v>193</v>
      </c>
      <c r="G44" s="4" t="s">
        <v>122</v>
      </c>
      <c r="H44" s="4" t="s">
        <v>194</v>
      </c>
      <c r="I44" s="5" t="s">
        <v>195</v>
      </c>
      <c r="J44" s="4" t="s">
        <v>196</v>
      </c>
    </row>
    <row r="45" customFormat="false" ht="23.85" hidden="false" customHeight="false" outlineLevel="0" collapsed="false">
      <c r="A45" s="4" t="n">
        <v>41</v>
      </c>
      <c r="B45" s="4" t="s">
        <v>197</v>
      </c>
      <c r="C45" s="4" t="s">
        <v>190</v>
      </c>
      <c r="D45" s="4" t="s">
        <v>198</v>
      </c>
      <c r="E45" s="4" t="s">
        <v>192</v>
      </c>
      <c r="F45" s="4" t="s">
        <v>193</v>
      </c>
      <c r="G45" s="4" t="s">
        <v>122</v>
      </c>
      <c r="H45" s="4" t="s">
        <v>199</v>
      </c>
      <c r="I45" s="5" t="s">
        <v>200</v>
      </c>
      <c r="J45" s="4" t="s">
        <v>201</v>
      </c>
    </row>
    <row r="46" customFormat="false" ht="23.85" hidden="false" customHeight="false" outlineLevel="0" collapsed="false">
      <c r="A46" s="4" t="n">
        <v>42</v>
      </c>
      <c r="B46" s="4" t="s">
        <v>202</v>
      </c>
      <c r="C46" s="4" t="s">
        <v>190</v>
      </c>
      <c r="D46" s="4" t="s">
        <v>198</v>
      </c>
      <c r="E46" s="4" t="s">
        <v>192</v>
      </c>
      <c r="F46" s="4" t="s">
        <v>203</v>
      </c>
      <c r="G46" s="4" t="s">
        <v>122</v>
      </c>
      <c r="H46" s="4" t="s">
        <v>204</v>
      </c>
      <c r="I46" s="5" t="s">
        <v>205</v>
      </c>
      <c r="J46" s="4" t="s">
        <v>206</v>
      </c>
    </row>
    <row r="47" customFormat="false" ht="23.85" hidden="false" customHeight="false" outlineLevel="0" collapsed="false">
      <c r="A47" s="4" t="n">
        <v>43</v>
      </c>
      <c r="B47" s="4" t="s">
        <v>207</v>
      </c>
      <c r="C47" s="4" t="s">
        <v>190</v>
      </c>
      <c r="D47" s="4" t="s">
        <v>208</v>
      </c>
      <c r="E47" s="4" t="s">
        <v>192</v>
      </c>
      <c r="F47" s="4" t="s">
        <v>209</v>
      </c>
      <c r="G47" s="4" t="s">
        <v>122</v>
      </c>
      <c r="H47" s="4" t="s">
        <v>210</v>
      </c>
      <c r="I47" s="5" t="s">
        <v>211</v>
      </c>
      <c r="J47" s="4" t="s">
        <v>212</v>
      </c>
    </row>
    <row r="48" customFormat="false" ht="23.85" hidden="false" customHeight="false" outlineLevel="0" collapsed="false">
      <c r="A48" s="4" t="n">
        <v>44</v>
      </c>
      <c r="B48" s="4" t="s">
        <v>213</v>
      </c>
      <c r="C48" s="4" t="s">
        <v>190</v>
      </c>
      <c r="D48" s="4" t="s">
        <v>208</v>
      </c>
      <c r="E48" s="4" t="s">
        <v>192</v>
      </c>
      <c r="F48" s="4" t="s">
        <v>209</v>
      </c>
      <c r="G48" s="4" t="s">
        <v>122</v>
      </c>
      <c r="H48" s="4" t="s">
        <v>210</v>
      </c>
      <c r="I48" s="5" t="s">
        <v>214</v>
      </c>
      <c r="J48" s="4"/>
    </row>
    <row r="49" customFormat="false" ht="23.85" hidden="false" customHeight="false" outlineLevel="0" collapsed="false">
      <c r="A49" s="4" t="n">
        <v>45</v>
      </c>
      <c r="B49" s="4" t="s">
        <v>215</v>
      </c>
      <c r="C49" s="4" t="s">
        <v>190</v>
      </c>
      <c r="D49" s="4" t="s">
        <v>208</v>
      </c>
      <c r="E49" s="4" t="s">
        <v>192</v>
      </c>
      <c r="F49" s="4" t="s">
        <v>139</v>
      </c>
      <c r="G49" s="4" t="s">
        <v>122</v>
      </c>
      <c r="H49" s="4" t="s">
        <v>210</v>
      </c>
      <c r="I49" s="5" t="s">
        <v>216</v>
      </c>
      <c r="J49" s="4"/>
    </row>
    <row r="50" customFormat="false" ht="23.85" hidden="false" customHeight="false" outlineLevel="0" collapsed="false">
      <c r="A50" s="4" t="n">
        <v>46</v>
      </c>
      <c r="B50" s="4" t="s">
        <v>217</v>
      </c>
      <c r="C50" s="4" t="s">
        <v>190</v>
      </c>
      <c r="D50" s="4" t="s">
        <v>218</v>
      </c>
      <c r="E50" s="4" t="s">
        <v>192</v>
      </c>
      <c r="F50" s="4" t="s">
        <v>219</v>
      </c>
      <c r="G50" s="4" t="s">
        <v>220</v>
      </c>
      <c r="H50" s="4" t="s">
        <v>221</v>
      </c>
      <c r="I50" s="5" t="s">
        <v>222</v>
      </c>
      <c r="J50" s="4" t="s">
        <v>223</v>
      </c>
    </row>
    <row r="51" customFormat="false" ht="23.85" hidden="false" customHeight="false" outlineLevel="0" collapsed="false">
      <c r="A51" s="4" t="n">
        <v>47</v>
      </c>
      <c r="B51" s="4" t="s">
        <v>224</v>
      </c>
      <c r="C51" s="4" t="s">
        <v>225</v>
      </c>
      <c r="D51" s="4" t="s">
        <v>226</v>
      </c>
      <c r="E51" s="4" t="s">
        <v>227</v>
      </c>
      <c r="F51" s="4" t="s">
        <v>228</v>
      </c>
      <c r="G51" s="4" t="s">
        <v>220</v>
      </c>
      <c r="H51" s="4" t="s">
        <v>229</v>
      </c>
      <c r="I51" s="5" t="s">
        <v>230</v>
      </c>
      <c r="J51" s="4"/>
    </row>
    <row r="52" customFormat="false" ht="23.85" hidden="false" customHeight="false" outlineLevel="0" collapsed="false">
      <c r="A52" s="4" t="n">
        <v>48</v>
      </c>
      <c r="B52" s="4" t="s">
        <v>231</v>
      </c>
      <c r="C52" s="4" t="s">
        <v>232</v>
      </c>
      <c r="D52" s="4" t="s">
        <v>233</v>
      </c>
      <c r="E52" s="4" t="s">
        <v>234</v>
      </c>
      <c r="F52" s="4" t="s">
        <v>235</v>
      </c>
      <c r="G52" s="4" t="s">
        <v>236</v>
      </c>
      <c r="H52" s="4" t="s">
        <v>237</v>
      </c>
      <c r="I52" s="5" t="s">
        <v>238</v>
      </c>
      <c r="J52" s="4" t="s">
        <v>239</v>
      </c>
    </row>
    <row r="53" customFormat="false" ht="35.05" hidden="false" customHeight="false" outlineLevel="0" collapsed="false">
      <c r="A53" s="6" t="n">
        <v>49</v>
      </c>
      <c r="B53" s="6" t="s">
        <v>240</v>
      </c>
      <c r="C53" s="6" t="s">
        <v>241</v>
      </c>
      <c r="D53" s="6" t="s">
        <v>242</v>
      </c>
      <c r="E53" s="6" t="s">
        <v>243</v>
      </c>
      <c r="F53" s="6" t="s">
        <v>244</v>
      </c>
      <c r="G53" s="6" t="s">
        <v>245</v>
      </c>
      <c r="H53" s="6" t="s">
        <v>246</v>
      </c>
      <c r="I53" s="7" t="s">
        <v>247</v>
      </c>
      <c r="J53" s="6" t="s">
        <v>248</v>
      </c>
    </row>
    <row r="54" customFormat="false" ht="15" hidden="false" customHeight="false" outlineLevel="0" collapsed="false">
      <c r="A54" s="4" t="n">
        <v>50</v>
      </c>
      <c r="B54" s="4" t="s">
        <v>249</v>
      </c>
      <c r="C54" s="4" t="s">
        <v>250</v>
      </c>
      <c r="D54" s="4" t="s">
        <v>251</v>
      </c>
      <c r="E54" s="4" t="s">
        <v>252</v>
      </c>
      <c r="F54" s="4" t="s">
        <v>244</v>
      </c>
      <c r="G54" s="4" t="s">
        <v>220</v>
      </c>
      <c r="H54" s="4" t="s">
        <v>66</v>
      </c>
      <c r="I54" s="5" t="s">
        <v>253</v>
      </c>
      <c r="J54" s="4"/>
    </row>
    <row r="55" customFormat="false" ht="15" hidden="false" customHeight="false" outlineLevel="0" collapsed="false">
      <c r="A55" s="4" t="n">
        <v>51</v>
      </c>
      <c r="B55" s="4" t="s">
        <v>254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259</v>
      </c>
      <c r="H55" s="4" t="s">
        <v>34</v>
      </c>
      <c r="I55" s="5" t="s">
        <v>260</v>
      </c>
      <c r="J55" s="4"/>
    </row>
    <row r="56" customFormat="false" ht="15" hidden="false" customHeight="false" outlineLevel="0" collapsed="false">
      <c r="A56" s="4" t="n">
        <v>52</v>
      </c>
      <c r="B56" s="4" t="s">
        <v>261</v>
      </c>
      <c r="C56" s="4" t="s">
        <v>262</v>
      </c>
      <c r="D56" s="4" t="s">
        <v>256</v>
      </c>
      <c r="E56" s="4" t="s">
        <v>257</v>
      </c>
      <c r="F56" s="4" t="s">
        <v>258</v>
      </c>
      <c r="G56" s="4" t="s">
        <v>259</v>
      </c>
      <c r="H56" s="4" t="s">
        <v>34</v>
      </c>
      <c r="I56" s="5" t="s">
        <v>263</v>
      </c>
      <c r="J56" s="4"/>
    </row>
    <row r="57" customFormat="false" ht="15" hidden="false" customHeight="false" outlineLevel="0" collapsed="false">
      <c r="A57" s="4" t="n">
        <v>53</v>
      </c>
      <c r="B57" s="4" t="s">
        <v>264</v>
      </c>
      <c r="C57" s="4" t="s">
        <v>255</v>
      </c>
      <c r="D57" s="4" t="s">
        <v>256</v>
      </c>
      <c r="E57" s="4" t="s">
        <v>257</v>
      </c>
      <c r="F57" s="4" t="s">
        <v>258</v>
      </c>
      <c r="G57" s="4" t="s">
        <v>259</v>
      </c>
      <c r="H57" s="4" t="s">
        <v>34</v>
      </c>
      <c r="I57" s="5" t="s">
        <v>265</v>
      </c>
      <c r="J57" s="4"/>
    </row>
    <row r="58" customFormat="false" ht="15" hidden="false" customHeight="false" outlineLevel="0" collapsed="false">
      <c r="A58" s="4" t="n">
        <v>54</v>
      </c>
      <c r="B58" s="4" t="s">
        <v>266</v>
      </c>
      <c r="C58" s="4" t="s">
        <v>255</v>
      </c>
      <c r="D58" s="4" t="s">
        <v>256</v>
      </c>
      <c r="E58" s="4" t="s">
        <v>257</v>
      </c>
      <c r="F58" s="4" t="s">
        <v>258</v>
      </c>
      <c r="G58" s="4" t="s">
        <v>259</v>
      </c>
      <c r="H58" s="4" t="s">
        <v>34</v>
      </c>
      <c r="I58" s="5" t="s">
        <v>267</v>
      </c>
      <c r="J58" s="4"/>
    </row>
    <row r="59" customFormat="false" ht="15" hidden="false" customHeight="false" outlineLevel="0" collapsed="false">
      <c r="A59" s="4" t="n">
        <v>55</v>
      </c>
      <c r="B59" s="4" t="s">
        <v>268</v>
      </c>
      <c r="C59" s="4" t="s">
        <v>269</v>
      </c>
      <c r="D59" s="4" t="s">
        <v>270</v>
      </c>
      <c r="E59" s="4" t="s">
        <v>257</v>
      </c>
      <c r="F59" s="4" t="s">
        <v>271</v>
      </c>
      <c r="G59" s="4" t="s">
        <v>259</v>
      </c>
      <c r="H59" s="4" t="s">
        <v>34</v>
      </c>
      <c r="I59" s="5" t="s">
        <v>272</v>
      </c>
      <c r="J59" s="4"/>
    </row>
    <row r="60" customFormat="false" ht="23.85" hidden="false" customHeight="false" outlineLevel="0" collapsed="false">
      <c r="A60" s="4" t="n">
        <v>56</v>
      </c>
      <c r="B60" s="4" t="s">
        <v>273</v>
      </c>
      <c r="C60" s="4" t="s">
        <v>274</v>
      </c>
      <c r="D60" s="4" t="s">
        <v>275</v>
      </c>
      <c r="E60" s="4" t="s">
        <v>276</v>
      </c>
      <c r="F60" s="4" t="s">
        <v>277</v>
      </c>
      <c r="G60" s="4" t="s">
        <v>278</v>
      </c>
      <c r="H60" s="4" t="s">
        <v>34</v>
      </c>
      <c r="I60" s="5" t="s">
        <v>279</v>
      </c>
      <c r="J60" s="4"/>
    </row>
    <row r="61" customFormat="false" ht="23.85" hidden="false" customHeight="false" outlineLevel="0" collapsed="false">
      <c r="A61" s="4" t="n">
        <v>57</v>
      </c>
      <c r="B61" s="4" t="s">
        <v>280</v>
      </c>
      <c r="C61" s="4" t="s">
        <v>190</v>
      </c>
      <c r="D61" s="4" t="s">
        <v>281</v>
      </c>
      <c r="E61" s="4" t="s">
        <v>276</v>
      </c>
      <c r="F61" s="4" t="s">
        <v>282</v>
      </c>
      <c r="G61" s="4" t="s">
        <v>278</v>
      </c>
      <c r="H61" s="4" t="s">
        <v>283</v>
      </c>
      <c r="I61" s="5" t="s">
        <v>284</v>
      </c>
      <c r="J61" s="4" t="s">
        <v>285</v>
      </c>
    </row>
    <row r="62" customFormat="false" ht="23.85" hidden="false" customHeight="false" outlineLevel="0" collapsed="false">
      <c r="A62" s="4" t="n">
        <v>58</v>
      </c>
      <c r="B62" s="4" t="s">
        <v>286</v>
      </c>
      <c r="C62" s="4" t="s">
        <v>287</v>
      </c>
      <c r="D62" s="4" t="s">
        <v>288</v>
      </c>
      <c r="E62" s="4" t="s">
        <v>276</v>
      </c>
      <c r="F62" s="4" t="s">
        <v>289</v>
      </c>
      <c r="G62" s="4" t="s">
        <v>278</v>
      </c>
      <c r="H62" s="4" t="s">
        <v>290</v>
      </c>
      <c r="I62" s="5" t="s">
        <v>291</v>
      </c>
      <c r="J62" s="4" t="s">
        <v>292</v>
      </c>
    </row>
    <row r="64" customFormat="false" ht="15" hidden="false" customHeight="false" outlineLevel="0" collapsed="false">
      <c r="A64" s="8" t="s">
        <v>293</v>
      </c>
    </row>
  </sheetData>
  <autoFilter ref="A4:J62"/>
  <mergeCells count="1">
    <mergeCell ref="A2:J2"/>
  </mergeCells>
  <hyperlinks>
    <hyperlink ref="I5" r:id="rId1" display="https://www.python.org"/>
    <hyperlink ref="I6" r:id="rId2" display="https://github.com/pandas-dev/pandas"/>
    <hyperlink ref="I7" r:id="rId3" display="https://github.com/numpy/numpy"/>
    <hyperlink ref="I8" r:id="rId4" display="https://foss.heptapod.net/openpyxl/openpyxl"/>
    <hyperlink ref="I9" r:id="rId5" display="https://github.com/theskumar/python-dotenv"/>
    <hyperlink ref="I10" r:id="rId6" display="https://github.com/psycopg/psycopg2"/>
    <hyperlink ref="I11" r:id="rId7" display="https://github.com/pallets/flask"/>
    <hyperlink ref="I12" r:id="rId8" display="https://github.com/pallets/werkzeug"/>
    <hyperlink ref="I13" r:id="rId9" display="https://github.com/corydolphin/flask-cors"/>
    <hyperlink ref="I14" r:id="rId10" display="https://github.com/psf/requests"/>
    <hyperlink ref="I15" r:id="rId11" display="https://github.com/pallets/jinja"/>
    <hyperlink ref="I16" r:id="rId12" display="https://github.com/pallets/markupsafe"/>
    <hyperlink ref="I17" r:id="rId13" display="https://github.com/pallets/itsdangerous"/>
    <hyperlink ref="I18" r:id="rId14" display="https://github.com/pallets/click"/>
    <hyperlink ref="I19" r:id="rId15" display="https://github.com/pallets-eco/blinker"/>
    <hyperlink ref="I20" r:id="rId16" display="https://github.com/urllib3/urllib3"/>
    <hyperlink ref="I21" r:id="rId17" display="https://github.com/kjd/idna"/>
    <hyperlink ref="I22" r:id="rId18" display="https://github.com/jawah/charset_normalizer"/>
    <hyperlink ref="I23" r:id="rId19" display="https://github.com/certifi/python-certifi"/>
    <hyperlink ref="I24" r:id="rId20" display="https://github.com/dateutil/dateutil"/>
    <hyperlink ref="I25" r:id="rId21" display="https://github.com/stub42/pytz"/>
    <hyperlink ref="I26" r:id="rId22" display="https://github.com/python/tzdata"/>
    <hyperlink ref="I27" r:id="rId23" display="https://github.com/benjaminp/six"/>
    <hyperlink ref="I28" r:id="rId24" display="https://foss.heptapod.net/openpyxl/et_xmlfile"/>
    <hyperlink ref="I29" r:id="rId25" display="https://github.com/pytest-dev/pytest"/>
    <hyperlink ref="I30" r:id="rId26" display="https://github.com/PyCQA/flake8"/>
    <hyperlink ref="I31" r:id="rId27" display="https://github.com/d3/d3"/>
    <hyperlink ref="I32" r:id="rId28" display="https://github.com/Leaflet/Leaflet"/>
    <hyperlink ref="I33" r:id="rId29" display="https://github.com/Leaflet/Leaflet.markercluster"/>
    <hyperlink ref="I34" r:id="rId30" display="https://github.com/lvoogdt/Leaflet.awesome-markers"/>
    <hyperlink ref="I35" r:id="rId31" display="https://github.com/python-visualization/folium"/>
    <hyperlink ref="I36" r:id="rId32" display="https://git.sheetjs.com/sheetjs/sheetjs"/>
    <hyperlink ref="I37" r:id="rId33" display="https://github.com/parallax/jsPDF"/>
    <hyperlink ref="I38" r:id="rId34" display="https://github.com/jquery/jquery"/>
    <hyperlink ref="I39" r:id="rId35" display="https://github.com/twbs/bootstrap"/>
    <hyperlink ref="I40" r:id="rId36" location="glyphicons" display="https://getbootstrap.com/docs/3.3/components/#glyphicons"/>
    <hyperlink ref="I41" r:id="rId37" display="https://fontawesome.com/license/free"/>
    <hyperlink ref="I42" r:id="rId38" display="https://github.com/vuejs/core"/>
    <hyperlink ref="I43" r:id="rId39" display="https://github.com/axios/axios"/>
    <hyperlink ref="I44" r:id="rId40" display="https://www.openstreetmap.org/copyright"/>
    <hyperlink ref="I45" r:id="rId41" display="https://www.esri.com/en-us/legal/terms/full-master-agreement"/>
    <hyperlink ref="I46" r:id="rId42" display="https://carto.com/basemaps"/>
    <hyperlink ref="I47" r:id="rId43" display="https://www.jsdelivr.com/terms"/>
    <hyperlink ref="I48" r:id="rId44" display="https://cdnjs.com"/>
    <hyperlink ref="I49" r:id="rId45" display="https://code.jquery.com"/>
    <hyperlink ref="I50" r:id="rId46" display="https://policies.google.com/terms"/>
    <hyperlink ref="I51" r:id="rId47" display="https://ftp.ncbi.nlm.nih.gov/pub/taxonomy/"/>
    <hyperlink ref="I52" r:id="rId48" display="https://www.postgresql.org/about/licence/"/>
    <hyperlink ref="I53" r:id="rId49" display="https://github.com/metabase/metabase"/>
    <hyperlink ref="I54" r:id="rId50" display="https://github.com/docker/compose"/>
    <hyperlink ref="I55" r:id="rId51" display="https://github.com/actions/checkout"/>
    <hyperlink ref="I56" r:id="rId52" display="https://github.com/actions/setup-python"/>
    <hyperlink ref="I57" r:id="rId53" display="https://github.com/actions/setup-node"/>
    <hyperlink ref="I58" r:id="rId54" display="https://github.com/actions/upload-artifact"/>
    <hyperlink ref="I59" r:id="rId55" display="https://github.com/nodejs/node"/>
    <hyperlink ref="I60" r:id="rId56" display="https://github.com/DerrickWood/kraken2"/>
    <hyperlink ref="I61" r:id="rId57" display="https://www.wilderlab.co.nz"/>
    <hyperlink ref="I62" r:id="rId58" display="https://github.com/FAIR-eDNA/FAIRe_check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294</v>
      </c>
      <c r="B1" s="9"/>
    </row>
    <row r="2" customFormat="false" ht="15" hidden="false" customHeight="false" outlineLevel="0" collapsed="false">
      <c r="A2" s="9"/>
      <c r="B2" s="9"/>
    </row>
    <row r="3" customFormat="false" ht="15" hidden="false" customHeight="false" outlineLevel="0" collapsed="false">
      <c r="A3" s="9" t="s">
        <v>295</v>
      </c>
      <c r="B3" s="9" t="n">
        <f aca="false">COUNTA('Third-party software'!B5:B62)</f>
        <v>58</v>
      </c>
    </row>
    <row r="4" customFormat="false" ht="15" hidden="false" customHeight="false" outlineLevel="0" collapsed="false">
      <c r="A4" s="9"/>
      <c r="B4" s="9"/>
    </row>
    <row r="5" customFormat="false" ht="15" hidden="false" customHeight="false" outlineLevel="0" collapsed="false">
      <c r="A5" s="10" t="s">
        <v>296</v>
      </c>
      <c r="B5" s="9"/>
    </row>
    <row r="6" customFormat="false" ht="15" hidden="false" customHeight="false" outlineLevel="0" collapsed="false">
      <c r="A6" s="9" t="s">
        <v>297</v>
      </c>
      <c r="B6" s="9" t="n">
        <f aca="false">COUNTIF('Third-party software'!E5:E62,"Python package (pip, requirements*.txt)*")</f>
        <v>8</v>
      </c>
    </row>
    <row r="7" customFormat="false" ht="15" hidden="false" customHeight="false" outlineLevel="0" collapsed="false">
      <c r="A7" s="9" t="s">
        <v>298</v>
      </c>
      <c r="B7" s="9" t="n">
        <f aca="false">COUNTIF('Third-party software'!E5:E62,"Python package (transitive, installed by pip)*")</f>
        <v>15</v>
      </c>
    </row>
    <row r="8" customFormat="false" ht="15" hidden="false" customHeight="false" outlineLevel="0" collapsed="false">
      <c r="A8" s="9" t="s">
        <v>299</v>
      </c>
      <c r="B8" s="9" t="n">
        <f aca="false">COUNTIF('Third-party software'!E5:E62,"JS/CSS loaded at view time from CDN (not stored in repo)*")</f>
        <v>13</v>
      </c>
    </row>
    <row r="9" customFormat="false" ht="15" hidden="false" customHeight="false" outlineLevel="0" collapsed="false">
      <c r="A9" s="9" t="s">
        <v>300</v>
      </c>
      <c r="B9" s="9" t="n">
        <f aca="false">COUNTIF('Third-party software'!E5:E62,"External web service (called at view/run time)*")</f>
        <v>7</v>
      </c>
    </row>
    <row r="10" customFormat="false" ht="15" hidden="false" customHeight="false" outlineLevel="0" collapsed="false">
      <c r="A10" s="9" t="s">
        <v>301</v>
      </c>
      <c r="B10" s="9" t="n">
        <f aca="false">COUNTIF('Third-party software'!E5:E62,"Container image / installed separately (deploy/)*")</f>
        <v>2</v>
      </c>
    </row>
    <row r="11" customFormat="false" ht="15" hidden="false" customHeight="false" outlineLevel="0" collapsed="false">
      <c r="A11" s="9" t="s">
        <v>259</v>
      </c>
      <c r="B11" s="9" t="n">
        <f aca="false">COUNTIF('Third-party software'!E5:E62,"GitHub Actions (CI only)*")</f>
        <v>5</v>
      </c>
    </row>
    <row r="12" customFormat="false" ht="15" hidden="false" customHeight="false" outlineLevel="0" collapsed="false">
      <c r="A12" s="9" t="s">
        <v>302</v>
      </c>
      <c r="B12" s="9" t="n">
        <f aca="false">COUNTIF('Third-party software'!E5:E62,"External tool / format — outputs are read; not bundled or called*")</f>
        <v>3</v>
      </c>
    </row>
    <row r="13" customFormat="false" ht="15" hidden="false" customHeight="false" outlineLevel="0" collapsed="false">
      <c r="A13" s="9" t="s">
        <v>303</v>
      </c>
      <c r="B13" s="9" t="n">
        <f aca="false">B3-SUM(B6:B12)</f>
        <v>5</v>
      </c>
    </row>
    <row r="14" customFormat="false" ht="15" hidden="false" customHeight="false" outlineLevel="0" collapsed="false">
      <c r="A14" s="9"/>
      <c r="B14" s="9"/>
    </row>
    <row r="15" customFormat="false" ht="15" hidden="false" customHeight="false" outlineLevel="0" collapsed="false">
      <c r="A15" s="10" t="s">
        <v>304</v>
      </c>
      <c r="B15" s="9"/>
    </row>
    <row r="16" customFormat="false" ht="15" hidden="false" customHeight="false" outlineLevel="0" collapsed="false">
      <c r="A16" s="9" t="s">
        <v>34</v>
      </c>
      <c r="B16" s="9" t="n">
        <f aca="false">COUNTIF('Third-party software'!H5:H62,"*MIT*")</f>
        <v>26</v>
      </c>
    </row>
    <row r="17" customFormat="false" ht="15" hidden="false" customHeight="false" outlineLevel="0" collapsed="false">
      <c r="A17" s="9" t="s">
        <v>305</v>
      </c>
      <c r="B17" s="9" t="n">
        <f aca="false">COUNTIF('Third-party software'!H5:H62,"*BSD*")</f>
        <v>12</v>
      </c>
    </row>
    <row r="18" customFormat="false" ht="15" hidden="false" customHeight="false" outlineLevel="0" collapsed="false">
      <c r="A18" s="9" t="s">
        <v>66</v>
      </c>
      <c r="B18" s="9" t="n">
        <f aca="false">COUNTIF('Third-party software'!H5:H62,"*Apache*")</f>
        <v>5</v>
      </c>
    </row>
    <row r="19" customFormat="false" ht="15" hidden="false" customHeight="false" outlineLevel="0" collapsed="false">
      <c r="A19" s="9" t="s">
        <v>123</v>
      </c>
      <c r="B19" s="9" t="n">
        <f aca="false">COUNTIF('Third-party software'!H5:H62,"ISC")</f>
        <v>1</v>
      </c>
    </row>
    <row r="20" customFormat="false" ht="15" hidden="false" customHeight="false" outlineLevel="0" collapsed="false">
      <c r="A20" s="9" t="s">
        <v>306</v>
      </c>
      <c r="B20" s="9" t="n">
        <f aca="false">COUNTIF('Third-party software'!H5:H62,"*LGPL*")</f>
        <v>1</v>
      </c>
    </row>
    <row r="21" customFormat="false" ht="15" hidden="false" customHeight="false" outlineLevel="0" collapsed="false">
      <c r="A21" s="9" t="s">
        <v>307</v>
      </c>
      <c r="B21" s="9" t="n">
        <f aca="false">COUNTIF('Third-party software'!H5:H62,"*MPL*")</f>
        <v>1</v>
      </c>
    </row>
    <row r="22" customFormat="false" ht="15" hidden="false" customHeight="false" outlineLevel="0" collapsed="false">
      <c r="A22" s="9" t="s">
        <v>308</v>
      </c>
      <c r="B22" s="9" t="n">
        <f aca="false">COUNTIF('Third-party software'!H5:H62,"*AGPL*")</f>
        <v>1</v>
      </c>
    </row>
    <row r="23" customFormat="false" ht="15" hidden="false" customHeight="false" outlineLevel="0" collapsed="false">
      <c r="A23" s="9" t="s">
        <v>309</v>
      </c>
      <c r="B23" s="9" t="n">
        <f aca="false">COUNTIF('Third-party software'!H5:H62,"*erms*")</f>
        <v>6</v>
      </c>
    </row>
    <row r="24" customFormat="false" ht="15" hidden="false" customHeight="false" outlineLevel="0" collapsed="false">
      <c r="A24" s="9"/>
      <c r="B24" s="9"/>
    </row>
    <row r="25" customFormat="false" ht="15" hidden="false" customHeight="false" outlineLevel="0" collapsed="false">
      <c r="A25" s="8" t="s">
        <v>310</v>
      </c>
      <c r="B25" s="9"/>
    </row>
    <row r="26" customFormat="false" ht="15" hidden="false" customHeight="false" outlineLevel="0" collapsed="false">
      <c r="A26" s="9"/>
      <c r="B26" s="9"/>
    </row>
    <row r="27" customFormat="false" ht="15" hidden="false" customHeight="false" outlineLevel="0" collapsed="false">
      <c r="A27" s="10" t="s">
        <v>311</v>
      </c>
      <c r="B27" s="9"/>
    </row>
    <row r="28" customFormat="false" ht="15" hidden="false" customHeight="false" outlineLevel="0" collapsed="false">
      <c r="A28" s="9" t="s">
        <v>312</v>
      </c>
      <c r="B28" s="9"/>
    </row>
    <row r="29" customFormat="false" ht="15" hidden="false" customHeight="false" outlineLevel="0" collapsed="false">
      <c r="A29" s="9" t="s">
        <v>313</v>
      </c>
      <c r="B29" s="9"/>
    </row>
    <row r="30" customFormat="false" ht="15" hidden="false" customHeight="false" outlineLevel="0" collapsed="false">
      <c r="A30" s="9" t="s">
        <v>314</v>
      </c>
      <c r="B30" s="9"/>
    </row>
    <row r="31" customFormat="false" ht="15" hidden="false" customHeight="false" outlineLevel="0" collapsed="false">
      <c r="A31" s="9" t="s">
        <v>315</v>
      </c>
      <c r="B31" s="9"/>
    </row>
    <row r="32" customFormat="false" ht="15" hidden="false" customHeight="false" outlineLevel="0" collapsed="false">
      <c r="A32" s="9" t="s">
        <v>316</v>
      </c>
      <c r="B3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2026-10-01T19:56:27Z</dcterms:created>
  <dc:creator>openpyxl</dc:creator>
  <dc:description/>
  <dc:language>en-US</dc:language>
  <cp:lastModifiedBy/>
  <dcterms:modified xsi:type="dcterms:W3CDTF">2026-10-01T19:56:27Z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